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行情" sheetId="1" r:id="rId1"/>
    <sheet name="参数设置" sheetId="2" r:id="rId2"/>
    <sheet name="组合分析" sheetId="3" r:id="rId3"/>
    <sheet name="月度收益" sheetId="4" r:id="rId4"/>
    <sheet name="压力测试" sheetId="5" r:id="rId5"/>
    <sheet name="投资仪表盘" sheetId="6" r:id="rId6"/>
    <sheet name="行业风险归因" sheetId="7" r:id="rId7"/>
    <sheet name="风险回测" sheetId="8" r:id="rId8"/>
  </sheets>
  <definedNames>
    <definedName name="_xlnm._FilterDatabase" localSheetId="0" hidden="1">原始行情!$A$2:$G$290</definedName>
  </definedNames>
  <calcPr calcId="124519" fullCalcOnLoad="1"/>
</workbook>
</file>

<file path=xl/sharedStrings.xml><?xml version="1.0" encoding="utf-8"?>
<sst xmlns="http://schemas.openxmlformats.org/spreadsheetml/2006/main" count="1188" uniqueCount="134">
  <si>
    <t>模拟股票月度行情（数据已完整提供，无需外部检索）</t>
  </si>
  <si>
    <t>日期</t>
  </si>
  <si>
    <t>股票代码</t>
  </si>
  <si>
    <t>股票名称</t>
  </si>
  <si>
    <t>行业</t>
  </si>
  <si>
    <t>收盘价</t>
  </si>
  <si>
    <t>当月现金分红</t>
  </si>
  <si>
    <t>基准指数收盘</t>
  </si>
  <si>
    <t>S001</t>
  </si>
  <si>
    <t>华曜科技</t>
  </si>
  <si>
    <t>科技</t>
  </si>
  <si>
    <t>S002</t>
  </si>
  <si>
    <t>云帆软件</t>
  </si>
  <si>
    <t>S003</t>
  </si>
  <si>
    <t>江海银行</t>
  </si>
  <si>
    <t>金融</t>
  </si>
  <si>
    <t>S004</t>
  </si>
  <si>
    <t>安信证券</t>
  </si>
  <si>
    <t>S005</t>
  </si>
  <si>
    <t>远岭医药</t>
  </si>
  <si>
    <t>医药</t>
  </si>
  <si>
    <t>S006</t>
  </si>
  <si>
    <t>康泽生物</t>
  </si>
  <si>
    <t>S007</t>
  </si>
  <si>
    <t>东辰消费</t>
  </si>
  <si>
    <t>消费</t>
  </si>
  <si>
    <t>S008</t>
  </si>
  <si>
    <t>新禾食品</t>
  </si>
  <si>
    <t>S009</t>
  </si>
  <si>
    <t>瀚源能源</t>
  </si>
  <si>
    <t>能源</t>
  </si>
  <si>
    <t>S010</t>
  </si>
  <si>
    <t>启明电力</t>
  </si>
  <si>
    <t>S011</t>
  </si>
  <si>
    <t>联港工业</t>
  </si>
  <si>
    <t>工业</t>
  </si>
  <si>
    <t>S012</t>
  </si>
  <si>
    <t>锐虎机械</t>
  </si>
  <si>
    <t>股票组合分析参数</t>
  </si>
  <si>
    <t>参数</t>
  </si>
  <si>
    <t>数值</t>
  </si>
  <si>
    <t>说明</t>
  </si>
  <si>
    <t>组合规模</t>
  </si>
  <si>
    <t>用于仓位、市值与风险金额计算</t>
  </si>
  <si>
    <t>无风险年利率</t>
  </si>
  <si>
    <t>CAPM 与夏普比率使用</t>
  </si>
  <si>
    <t>单股权重上限</t>
  </si>
  <si>
    <t>任何单只股票不得超过该上限</t>
  </si>
  <si>
    <t>行业权重上限</t>
  </si>
  <si>
    <t>同一行业合计权重不得超过该上限</t>
  </si>
  <si>
    <t>VaR 单尾置信系数</t>
  </si>
  <si>
    <t>95% 单尾正态近似</t>
  </si>
  <si>
    <t>年化月份数</t>
  </si>
  <si>
    <t>月度数据年化系数</t>
  </si>
  <si>
    <t>目标组合权重</t>
  </si>
  <si>
    <t>目标权重</t>
  </si>
  <si>
    <t>合计</t>
  </si>
  <si>
    <t>压力情景：行业价格冲击</t>
  </si>
  <si>
    <t>温和回撤</t>
  </si>
  <si>
    <t>流动性冲击</t>
  </si>
  <si>
    <t>增长反弹</t>
  </si>
  <si>
    <t>股票组合收益与风险分析</t>
  </si>
  <si>
    <t>蓝色单元格为公式结果；所有收益率、风险指标与贡献值均应保持公式联动。</t>
  </si>
  <si>
    <t>最新价</t>
  </si>
  <si>
    <t>期初价</t>
  </si>
  <si>
    <t>累计收益率</t>
  </si>
  <si>
    <t>年化收益率</t>
  </si>
  <si>
    <t>年化波动率</t>
  </si>
  <si>
    <t>Beta</t>
  </si>
  <si>
    <t>CAPM期望收益</t>
  </si>
  <si>
    <t>Alpha</t>
  </si>
  <si>
    <t>仅基于负月收益的年化下行波动率</t>
  </si>
  <si>
    <t>加权收益贡献</t>
  </si>
  <si>
    <t>加权Beta贡献</t>
  </si>
  <si>
    <t>月度VaR贡献</t>
  </si>
  <si>
    <t>配置判断</t>
  </si>
  <si>
    <t>组合汇总</t>
  </si>
  <si>
    <t>权重合计</t>
  </si>
  <si>
    <t>组合年化收益率</t>
  </si>
  <si>
    <t>组合年化波动率</t>
  </si>
  <si>
    <t>组合Beta</t>
  </si>
  <si>
    <t>95%单月VaR</t>
  </si>
  <si>
    <t>夏普比率</t>
  </si>
  <si>
    <t>最大回撤</t>
  </si>
  <si>
    <t>基准年化收益率</t>
  </si>
  <si>
    <t>月份</t>
  </si>
  <si>
    <t>基准月收益率</t>
  </si>
  <si>
    <t>组合月收益率</t>
  </si>
  <si>
    <t>组合累计净值</t>
  </si>
  <si>
    <t>基准累计净值</t>
  </si>
  <si>
    <t>组合回撤</t>
  </si>
  <si>
    <t>股票组合情景压力测试</t>
  </si>
  <si>
    <t>按行业冲击映射至每只股票，计算持仓市值和情景损益；负值代表亏损。</t>
  </si>
  <si>
    <t>情景</t>
  </si>
  <si>
    <t>行业冲击</t>
  </si>
  <si>
    <t>持仓市值</t>
  </si>
  <si>
    <t>情景损益</t>
  </si>
  <si>
    <t>组合损益</t>
  </si>
  <si>
    <t>损益率</t>
  </si>
  <si>
    <t>风险判断</t>
  </si>
  <si>
    <t>股票组合投资仪表盘</t>
  </si>
  <si>
    <t>95%单月VaR率</t>
  </si>
  <si>
    <t>风险贡献最高的 5 只股票</t>
  </si>
  <si>
    <t>排名</t>
  </si>
  <si>
    <t>六行业协方差风险归因</t>
  </si>
  <si>
    <t>月末</t>
  </si>
  <si>
    <t>加权组合收益</t>
  </si>
  <si>
    <t>行业目标权重</t>
  </si>
  <si>
    <t>样本协方差</t>
  </si>
  <si>
    <t>Σw</t>
  </si>
  <si>
    <t>VaR贡献</t>
  </si>
  <si>
    <t>边际VaR</t>
  </si>
  <si>
    <t>独立VaR</t>
  </si>
  <si>
    <t>组合月方差</t>
  </si>
  <si>
    <t>协方差组合VaR</t>
  </si>
  <si>
    <t>贡献合计</t>
  </si>
  <si>
    <t>分散化收益</t>
  </si>
  <si>
    <t>最大风险贡献行业</t>
  </si>
  <si>
    <t>单步前瞻风险回测（前12个月预测下一月）</t>
  </si>
  <si>
    <t>检验月末</t>
  </si>
  <si>
    <t>实际组合月收益</t>
  </si>
  <si>
    <t>前12月年化波动</t>
  </si>
  <si>
    <t>前12月Beta</t>
  </si>
  <si>
    <t>前12月跟踪误差</t>
  </si>
  <si>
    <t>90%历史VaR率</t>
  </si>
  <si>
    <t>90%历史ES率</t>
  </si>
  <si>
    <t>VaR突破</t>
  </si>
  <si>
    <t>前12月信息比率</t>
  </si>
  <si>
    <t>实际损失率</t>
  </si>
  <si>
    <t>主动月收益</t>
  </si>
  <si>
    <t>突破次数</t>
  </si>
  <si>
    <t>突破率</t>
  </si>
  <si>
    <t>理论突破次数</t>
  </si>
  <si>
    <t>回测状态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</si>
</sst>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0.00"/>
    <numFmt numFmtId="166" formatCode="¥#,##0;[Red]-¥#,##0"/>
    <numFmt numFmtId="167" formatCode="0.00%;[Red]-0.00%"/>
  </numFmts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/>
    <xf numFmtId="0" fontId="2" fillId="4" borderId="0" xfId="0" applyFont="1" applyFill="1" applyAlignment="1">
      <alignment horizontal="left" vertical="center"/>
    </xf>
    <xf numFmtId="0" fontId="3" fillId="5" borderId="1" xfId="0" applyFont="1" applyFill="1" applyBorder="1"/>
    <xf numFmtId="166" fontId="0" fillId="0" borderId="1" xfId="0" applyNumberFormat="1" applyBorder="1"/>
    <xf numFmtId="167" fontId="0" fillId="0" borderId="1" xfId="0" applyNumberFormat="1" applyBorder="1"/>
    <xf numFmtId="167" fontId="0" fillId="6" borderId="1" xfId="0" applyNumberFormat="1" applyFill="1" applyBorder="1"/>
    <xf numFmtId="0" fontId="4" fillId="0" borderId="0" xfId="0" applyFont="1" applyAlignment="1">
      <alignment vertical="top" wrapText="1"/>
    </xf>
    <xf numFmtId="165" fontId="0" fillId="6" borderId="1" xfId="0" applyNumberFormat="1" applyFill="1" applyBorder="1"/>
    <xf numFmtId="166" fontId="0" fillId="6" borderId="1" xfId="0" applyNumberFormat="1" applyFill="1" applyBorder="1"/>
    <xf numFmtId="0" fontId="2" fillId="7" borderId="1" xfId="0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869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组合与基准累计净值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组合累计净值</c:v>
          </c:tx>
          <c:spPr>
            <a:ln w="28575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'月度收益'!$A$2:$A$24</c:f>
              <c:numCache>
                <c:formatCode>General</c:formatCode>
                <c:ptCount val="23"/>
                <c:pt idx="0">
                  <c:v>45351</c:v>
                </c:pt>
                <c:pt idx="1">
                  <c:v>45382</c:v>
                </c:pt>
                <c:pt idx="2">
                  <c:v>45412</c:v>
                </c:pt>
                <c:pt idx="3">
                  <c:v>45443</c:v>
                </c:pt>
                <c:pt idx="4">
                  <c:v>45473</c:v>
                </c:pt>
                <c:pt idx="5">
                  <c:v>45504</c:v>
                </c:pt>
                <c:pt idx="6">
                  <c:v>45535</c:v>
                </c:pt>
                <c:pt idx="7">
                  <c:v>45565</c:v>
                </c:pt>
                <c:pt idx="8">
                  <c:v>45596</c:v>
                </c:pt>
                <c:pt idx="9">
                  <c:v>45626</c:v>
                </c:pt>
                <c:pt idx="10">
                  <c:v>45657</c:v>
                </c:pt>
                <c:pt idx="11">
                  <c:v>45688</c:v>
                </c:pt>
                <c:pt idx="12">
                  <c:v>45716</c:v>
                </c:pt>
                <c:pt idx="13">
                  <c:v>45747</c:v>
                </c:pt>
                <c:pt idx="14">
                  <c:v>45777</c:v>
                </c:pt>
                <c:pt idx="15">
                  <c:v>45808</c:v>
                </c:pt>
                <c:pt idx="16">
                  <c:v>45838</c:v>
                </c:pt>
                <c:pt idx="17">
                  <c:v>45869</c:v>
                </c:pt>
                <c:pt idx="18">
                  <c:v>45900</c:v>
                </c:pt>
                <c:pt idx="19">
                  <c:v>45930</c:v>
                </c:pt>
                <c:pt idx="20">
                  <c:v>45961</c:v>
                </c:pt>
                <c:pt idx="21">
                  <c:v>45991</c:v>
                </c:pt>
                <c:pt idx="22">
                  <c:v>46022</c:v>
                </c:pt>
              </c:numCache>
            </c:numRef>
          </c:cat>
          <c:val>
            <c:numRef>
              <c:f>'月度收益'!$P$2:$P$24</c:f>
              <c:numCache>
                <c:formatCode>General</c:formatCode>
                <c:ptCount val="23"/>
                <c:pt idx="0">
                  <c:v>1.037134327253655</c:v>
                </c:pt>
                <c:pt idx="1">
                  <c:v>1.0697175736999802</c:v>
                </c:pt>
                <c:pt idx="2">
                  <c:v>1.0856929192248406</c:v>
                </c:pt>
                <c:pt idx="3">
                  <c:v>1.0841184324490651</c:v>
                </c:pt>
                <c:pt idx="4">
                  <c:v>1.0807166599586369</c:v>
                </c:pt>
                <c:pt idx="5">
                  <c:v>1.0812497876386524</c:v>
                </c:pt>
                <c:pt idx="6">
                  <c:v>1.03870965671746</c:v>
                </c:pt>
                <c:pt idx="7">
                  <c:v>1.074745443888067</c:v>
                </c:pt>
                <c:pt idx="8">
                  <c:v>1.1173781431097043</c:v>
                </c:pt>
                <c:pt idx="9">
                  <c:v>1.2027613432413586</c:v>
                </c:pt>
                <c:pt idx="10">
                  <c:v>1.216163489910778</c:v>
                </c:pt>
                <c:pt idx="11">
                  <c:v>1.2005159181475522</c:v>
                </c:pt>
                <c:pt idx="12">
                  <c:v>1.1662056354459778</c:v>
                </c:pt>
                <c:pt idx="13">
                  <c:v>1.133349056170059</c:v>
                </c:pt>
                <c:pt idx="14">
                  <c:v>1.0588753384323621</c:v>
                </c:pt>
                <c:pt idx="15">
                  <c:v>1.0799570572683201</c:v>
                </c:pt>
                <c:pt idx="16">
                  <c:v>1.1274189682033946</c:v>
                </c:pt>
                <c:pt idx="17">
                  <c:v>1.1750743085993223</c:v>
                </c:pt>
                <c:pt idx="18">
                  <c:v>1.2075159430946112</c:v>
                </c:pt>
                <c:pt idx="19">
                  <c:v>1.2709014356058717</c:v>
                </c:pt>
                <c:pt idx="20">
                  <c:v>1.262688425287416</c:v>
                </c:pt>
                <c:pt idx="21">
                  <c:v>1.2558185516140596</c:v>
                </c:pt>
                <c:pt idx="22">
                  <c:v>1.2653052339776898</c:v>
                </c:pt>
              </c:numCache>
            </c:numRef>
          </c:val>
        </c:ser>
        <c:ser>
          <c:idx val="1"/>
          <c:order val="1"/>
          <c:tx>
            <c:v>基准累计净值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'月度收益'!$A$2:$A$24</c:f>
              <c:numCache>
                <c:formatCode>General</c:formatCode>
                <c:ptCount val="23"/>
                <c:pt idx="0">
                  <c:v>45351</c:v>
                </c:pt>
                <c:pt idx="1">
                  <c:v>45382</c:v>
                </c:pt>
                <c:pt idx="2">
                  <c:v>45412</c:v>
                </c:pt>
                <c:pt idx="3">
                  <c:v>45443</c:v>
                </c:pt>
                <c:pt idx="4">
                  <c:v>45473</c:v>
                </c:pt>
                <c:pt idx="5">
                  <c:v>45504</c:v>
                </c:pt>
                <c:pt idx="6">
                  <c:v>45535</c:v>
                </c:pt>
                <c:pt idx="7">
                  <c:v>45565</c:v>
                </c:pt>
                <c:pt idx="8">
                  <c:v>45596</c:v>
                </c:pt>
                <c:pt idx="9">
                  <c:v>45626</c:v>
                </c:pt>
                <c:pt idx="10">
                  <c:v>45657</c:v>
                </c:pt>
                <c:pt idx="11">
                  <c:v>45688</c:v>
                </c:pt>
                <c:pt idx="12">
                  <c:v>45716</c:v>
                </c:pt>
                <c:pt idx="13">
                  <c:v>45747</c:v>
                </c:pt>
                <c:pt idx="14">
                  <c:v>45777</c:v>
                </c:pt>
                <c:pt idx="15">
                  <c:v>45808</c:v>
                </c:pt>
                <c:pt idx="16">
                  <c:v>45838</c:v>
                </c:pt>
                <c:pt idx="17">
                  <c:v>45869</c:v>
                </c:pt>
                <c:pt idx="18">
                  <c:v>45900</c:v>
                </c:pt>
                <c:pt idx="19">
                  <c:v>45930</c:v>
                </c:pt>
                <c:pt idx="20">
                  <c:v>45961</c:v>
                </c:pt>
                <c:pt idx="21">
                  <c:v>45991</c:v>
                </c:pt>
                <c:pt idx="22">
                  <c:v>46022</c:v>
                </c:pt>
              </c:numCache>
            </c:numRef>
          </c:cat>
          <c:val>
            <c:numRef>
              <c:f>'月度收益'!$Q$2:$Q$24</c:f>
              <c:numCache>
                <c:formatCode>General</c:formatCode>
                <c:ptCount val="23"/>
                <c:pt idx="0">
                  <c:v>1.02931</c:v>
                </c:pt>
                <c:pt idx="1">
                  <c:v>1.0568099999999998</c:v>
                </c:pt>
                <c:pt idx="2">
                  <c:v>1.0702599999999998</c:v>
                </c:pt>
                <c:pt idx="3">
                  <c:v>1.0670299999999997</c:v>
                </c:pt>
                <c:pt idx="4">
                  <c:v>1.0560499999999997</c:v>
                </c:pt>
                <c:pt idx="5">
                  <c:v>1.05168</c:v>
                </c:pt>
                <c:pt idx="6">
                  <c:v>1.00653</c:v>
                </c:pt>
                <c:pt idx="7">
                  <c:v>1.03531</c:v>
                </c:pt>
                <c:pt idx="8">
                  <c:v>1.0714299999999999</c:v>
                </c:pt>
                <c:pt idx="9">
                  <c:v>1.1472599999999997</c:v>
                </c:pt>
                <c:pt idx="10">
                  <c:v>1.1525199999999998</c:v>
                </c:pt>
                <c:pt idx="11">
                  <c:v>1.1314</c:v>
                </c:pt>
                <c:pt idx="12">
                  <c:v>1.09601</c:v>
                </c:pt>
                <c:pt idx="13">
                  <c:v>1.0658299999999998</c:v>
                </c:pt>
                <c:pt idx="14">
                  <c:v>0.9975199999999999</c:v>
                </c:pt>
                <c:pt idx="15">
                  <c:v>1.01196</c:v>
                </c:pt>
                <c:pt idx="16">
                  <c:v>1.0435999999999999</c:v>
                </c:pt>
                <c:pt idx="17">
                  <c:v>1.0785799999999999</c:v>
                </c:pt>
                <c:pt idx="18">
                  <c:v>1.10202</c:v>
                </c:pt>
                <c:pt idx="19">
                  <c:v>1.1561</c:v>
                </c:pt>
                <c:pt idx="20">
                  <c:v>1.14632</c:v>
                </c:pt>
                <c:pt idx="21">
                  <c:v>1.13662</c:v>
                </c:pt>
                <c:pt idx="22">
                  <c:v>1.14083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月份</a:t>
                </a:r>
              </a:p>
            </c:rich>
          </c:tx>
          <c:layout/>
        </c:title>
        <c:numFmt formatCode="yyyy-mm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累计净值</a:t>
                </a:r>
              </a:p>
            </c:rich>
          </c:tx>
          <c:layout/>
        </c:title>
        <c:numFmt formatCode="0.0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压力情景组合损益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情景组合损益</c:v>
          </c:tx>
          <c:spPr>
            <a:solidFill>
              <a:srgbClr val="ED7D31"/>
            </a:solidFill>
            <a:ln>
              <a:noFill/>
            </a:ln>
          </c:spPr>
          <c:dLbls>
            <c:numFmt formatCode="¥0.0,,&quot;百万&quot;" sourceLinked="0"/>
            <c:showVal val="1"/>
          </c:dLbls>
          <c:cat>
            <c:strRef>
              <c:f>'压力测试'!$J$4:$J$6</c:f>
              <c:strCache>
                <c:ptCount val="3"/>
                <c:pt idx="0">
                  <c:v>温和回撤</c:v>
                </c:pt>
                <c:pt idx="1">
                  <c:v>流动性冲击</c:v>
                </c:pt>
                <c:pt idx="2">
                  <c:v>增长反弹</c:v>
                </c:pt>
              </c:strCache>
            </c:strRef>
          </c:cat>
          <c:val>
            <c:numRef>
              <c:f>'压力测试'!$K$4:$K$6</c:f>
              <c:numCache>
                <c:formatCode>General</c:formatCode>
                <c:ptCount val="3"/>
                <c:pt idx="0">
                  <c:v>-523000.0</c:v>
                </c:pt>
                <c:pt idx="1">
                  <c:v>-1676000.0</c:v>
                </c:pt>
                <c:pt idx="2">
                  <c:v>986000.0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情景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损益金额（元）</a:t>
                </a:r>
              </a:p>
            </c:rich>
          </c:tx>
          <c:layout/>
        </c:title>
        <c:numFmt formatCode="¥0.0,,&quot;百万&quot;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历史VaR与实际损失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90%历史VaR率</c:v>
          </c:tx>
          <c:marker>
            <c:symbol val="none"/>
          </c:marker>
          <c:cat>
            <c:numRef>
              <c:f>'风险回测'!$A$4:$A$14</c:f>
              <c:numCache>
                <c:formatCode>General</c:formatCode>
                <c:ptCount val="11"/>
                <c:pt idx="0">
                  <c:v>45716</c:v>
                </c:pt>
                <c:pt idx="1">
                  <c:v>45747</c:v>
                </c:pt>
                <c:pt idx="2">
                  <c:v>45777</c:v>
                </c:pt>
                <c:pt idx="3">
                  <c:v>45808</c:v>
                </c:pt>
                <c:pt idx="4">
                  <c:v>45838</c:v>
                </c:pt>
                <c:pt idx="5">
                  <c:v>45869</c:v>
                </c:pt>
                <c:pt idx="6">
                  <c:v>45900</c:v>
                </c:pt>
                <c:pt idx="7">
                  <c:v>45930</c:v>
                </c:pt>
                <c:pt idx="8">
                  <c:v>45961</c:v>
                </c:pt>
                <c:pt idx="9">
                  <c:v>45991</c:v>
                </c:pt>
                <c:pt idx="10">
                  <c:v>46022</c:v>
                </c:pt>
              </c:numCache>
            </c:numRef>
          </c:cat>
          <c:val>
            <c:numRef>
              <c:f>'风险回测'!$F$4:$F$14</c:f>
              <c:numCache>
                <c:formatCode>General</c:formatCode>
                <c:ptCount val="11"/>
                <c:pt idx="0">
                  <c:v>0.012866339018591872</c:v>
                </c:pt>
                <c:pt idx="1">
                  <c:v>0.02857961496630279</c:v>
                </c:pt>
                <c:pt idx="2">
                  <c:v>0.02857961496630279</c:v>
                </c:pt>
                <c:pt idx="3">
                  <c:v>0.0393434814115395</c:v>
                </c:pt>
                <c:pt idx="4">
                  <c:v>0.0393434814115395</c:v>
                </c:pt>
                <c:pt idx="5">
                  <c:v>0.0393434814115395</c:v>
                </c:pt>
                <c:pt idx="6">
                  <c:v>0.0393434814115395</c:v>
                </c:pt>
                <c:pt idx="7">
                  <c:v>0.02857961496630279</c:v>
                </c:pt>
                <c:pt idx="8">
                  <c:v>0.02857961496630279</c:v>
                </c:pt>
                <c:pt idx="9">
                  <c:v>0.02857961496630279</c:v>
                </c:pt>
                <c:pt idx="10">
                  <c:v>0.02857961496630279</c:v>
                </c:pt>
              </c:numCache>
            </c:numRef>
          </c:val>
        </c:ser>
        <c:ser>
          <c:idx val="1"/>
          <c:order val="1"/>
          <c:tx>
            <c:v>实际损失率</c:v>
          </c:tx>
          <c:marker>
            <c:symbol val="none"/>
          </c:marker>
          <c:cat>
            <c:numRef>
              <c:f>'风险回测'!$A$4:$A$14</c:f>
              <c:numCache>
                <c:formatCode>General</c:formatCode>
                <c:ptCount val="11"/>
                <c:pt idx="0">
                  <c:v>45716</c:v>
                </c:pt>
                <c:pt idx="1">
                  <c:v>45747</c:v>
                </c:pt>
                <c:pt idx="2">
                  <c:v>45777</c:v>
                </c:pt>
                <c:pt idx="3">
                  <c:v>45808</c:v>
                </c:pt>
                <c:pt idx="4">
                  <c:v>45838</c:v>
                </c:pt>
                <c:pt idx="5">
                  <c:v>45869</c:v>
                </c:pt>
                <c:pt idx="6">
                  <c:v>45900</c:v>
                </c:pt>
                <c:pt idx="7">
                  <c:v>45930</c:v>
                </c:pt>
                <c:pt idx="8">
                  <c:v>45961</c:v>
                </c:pt>
                <c:pt idx="9">
                  <c:v>45991</c:v>
                </c:pt>
                <c:pt idx="10">
                  <c:v>46022</c:v>
                </c:pt>
              </c:numCache>
            </c:numRef>
          </c:cat>
          <c:val>
            <c:numRef>
              <c:f>'风险回测'!$J$4:$J$14</c:f>
              <c:numCache>
                <c:formatCode>General</c:formatCode>
                <c:ptCount val="11"/>
                <c:pt idx="0">
                  <c:v>0.02857961496630279</c:v>
                </c:pt>
                <c:pt idx="1">
                  <c:v>0.02817391571200374</c:v>
                </c:pt>
                <c:pt idx="2">
                  <c:v>0.06571119226883793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0.006462350335248799</c:v>
                </c:pt>
                <c:pt idx="9">
                  <c:v>0.005440672089627106</c:v>
                </c:pt>
                <c:pt idx="10">
                  <c:v>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月末</a:t>
                </a:r>
              </a:p>
            </c:rich>
          </c:tx>
          <c:layout/>
        </c:title>
        <c:numFmt formatCode="yyyy-mm" sourceLinked="0"/>
        <c:tickLblPos val="nextTo"/>
        <c:crossAx val="50030002"/>
        <c:crosses val="autoZero"/>
        <c:auto val="1"/>
        <c:lblOffset val="100"/>
      </c:dateAx>
      <c:valAx>
        <c:axId val="50030002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损失率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11</xdr:col>
      <xdr:colOff>685800</xdr:colOff>
      <xdr:row>21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11</xdr:col>
      <xdr:colOff>685800</xdr:colOff>
      <xdr:row>34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16</xdr:row>
      <xdr:rowOff>0</xdr:rowOff>
    </xdr:from>
    <xdr:to>
      <xdr:col>8</xdr:col>
      <xdr:colOff>161925</xdr:colOff>
      <xdr:row>32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showGridLines="0" tabSelected="1" zoomScale="85" zoomScaleNormal="85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11.7109375" customWidth="1"/>
    <col min="3" max="3" width="14.7109375" customWidth="1"/>
    <col min="4" max="4" width="10.7109375" customWidth="1"/>
    <col min="5" max="7" width="15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>
        <v>45322</v>
      </c>
      <c r="B3" s="4" t="s">
        <v>8</v>
      </c>
      <c r="C3" s="5" t="s">
        <v>9</v>
      </c>
      <c r="D3" s="4" t="s">
        <v>10</v>
      </c>
      <c r="E3" s="6">
        <v>18</v>
      </c>
      <c r="F3" s="6">
        <v>0</v>
      </c>
      <c r="G3" s="6">
        <v>1000</v>
      </c>
    </row>
    <row r="4" spans="1:7">
      <c r="A4" s="3">
        <v>45322</v>
      </c>
      <c r="B4" s="4" t="s">
        <v>11</v>
      </c>
      <c r="C4" s="5" t="s">
        <v>12</v>
      </c>
      <c r="D4" s="4" t="s">
        <v>10</v>
      </c>
      <c r="E4" s="6">
        <v>21.15</v>
      </c>
      <c r="F4" s="6">
        <v>0</v>
      </c>
      <c r="G4" s="6">
        <v>1000</v>
      </c>
    </row>
    <row r="5" spans="1:7">
      <c r="A5" s="3">
        <v>45322</v>
      </c>
      <c r="B5" s="4" t="s">
        <v>13</v>
      </c>
      <c r="C5" s="5" t="s">
        <v>14</v>
      </c>
      <c r="D5" s="4" t="s">
        <v>15</v>
      </c>
      <c r="E5" s="6">
        <v>24.3</v>
      </c>
      <c r="F5" s="6">
        <v>0</v>
      </c>
      <c r="G5" s="6">
        <v>1000</v>
      </c>
    </row>
    <row r="6" spans="1:7">
      <c r="A6" s="3">
        <v>45322</v>
      </c>
      <c r="B6" s="4" t="s">
        <v>16</v>
      </c>
      <c r="C6" s="5" t="s">
        <v>17</v>
      </c>
      <c r="D6" s="4" t="s">
        <v>15</v>
      </c>
      <c r="E6" s="6">
        <v>27.45</v>
      </c>
      <c r="F6" s="6">
        <v>0</v>
      </c>
      <c r="G6" s="6">
        <v>1000</v>
      </c>
    </row>
    <row r="7" spans="1:7">
      <c r="A7" s="3">
        <v>45322</v>
      </c>
      <c r="B7" s="4" t="s">
        <v>18</v>
      </c>
      <c r="C7" s="5" t="s">
        <v>19</v>
      </c>
      <c r="D7" s="4" t="s">
        <v>20</v>
      </c>
      <c r="E7" s="6">
        <v>30.6</v>
      </c>
      <c r="F7" s="6">
        <v>0</v>
      </c>
      <c r="G7" s="6">
        <v>1000</v>
      </c>
    </row>
    <row r="8" spans="1:7">
      <c r="A8" s="3">
        <v>45322</v>
      </c>
      <c r="B8" s="4" t="s">
        <v>21</v>
      </c>
      <c r="C8" s="5" t="s">
        <v>22</v>
      </c>
      <c r="D8" s="4" t="s">
        <v>20</v>
      </c>
      <c r="E8" s="6">
        <v>33.75</v>
      </c>
      <c r="F8" s="6">
        <v>0</v>
      </c>
      <c r="G8" s="6">
        <v>1000</v>
      </c>
    </row>
    <row r="9" spans="1:7">
      <c r="A9" s="3">
        <v>45322</v>
      </c>
      <c r="B9" s="4" t="s">
        <v>23</v>
      </c>
      <c r="C9" s="5" t="s">
        <v>24</v>
      </c>
      <c r="D9" s="4" t="s">
        <v>25</v>
      </c>
      <c r="E9" s="6">
        <v>36.9</v>
      </c>
      <c r="F9" s="6">
        <v>0</v>
      </c>
      <c r="G9" s="6">
        <v>1000</v>
      </c>
    </row>
    <row r="10" spans="1:7">
      <c r="A10" s="3">
        <v>45322</v>
      </c>
      <c r="B10" s="4" t="s">
        <v>26</v>
      </c>
      <c r="C10" s="5" t="s">
        <v>27</v>
      </c>
      <c r="D10" s="4" t="s">
        <v>25</v>
      </c>
      <c r="E10" s="6">
        <v>40.05</v>
      </c>
      <c r="F10" s="6">
        <v>0</v>
      </c>
      <c r="G10" s="6">
        <v>1000</v>
      </c>
    </row>
    <row r="11" spans="1:7">
      <c r="A11" s="3">
        <v>45322</v>
      </c>
      <c r="B11" s="4" t="s">
        <v>28</v>
      </c>
      <c r="C11" s="5" t="s">
        <v>29</v>
      </c>
      <c r="D11" s="4" t="s">
        <v>30</v>
      </c>
      <c r="E11" s="6">
        <v>43.2</v>
      </c>
      <c r="F11" s="6">
        <v>0</v>
      </c>
      <c r="G11" s="6">
        <v>1000</v>
      </c>
    </row>
    <row r="12" spans="1:7">
      <c r="A12" s="3">
        <v>45322</v>
      </c>
      <c r="B12" s="4" t="s">
        <v>31</v>
      </c>
      <c r="C12" s="5" t="s">
        <v>32</v>
      </c>
      <c r="D12" s="4" t="s">
        <v>30</v>
      </c>
      <c r="E12" s="6">
        <v>46.35</v>
      </c>
      <c r="F12" s="6">
        <v>0</v>
      </c>
      <c r="G12" s="6">
        <v>1000</v>
      </c>
    </row>
    <row r="13" spans="1:7">
      <c r="A13" s="3">
        <v>45322</v>
      </c>
      <c r="B13" s="4" t="s">
        <v>33</v>
      </c>
      <c r="C13" s="5" t="s">
        <v>34</v>
      </c>
      <c r="D13" s="4" t="s">
        <v>35</v>
      </c>
      <c r="E13" s="6">
        <v>49.5</v>
      </c>
      <c r="F13" s="6">
        <v>0</v>
      </c>
      <c r="G13" s="6">
        <v>1000</v>
      </c>
    </row>
    <row r="14" spans="1:7">
      <c r="A14" s="3">
        <v>45322</v>
      </c>
      <c r="B14" s="4" t="s">
        <v>36</v>
      </c>
      <c r="C14" s="5" t="s">
        <v>37</v>
      </c>
      <c r="D14" s="4" t="s">
        <v>35</v>
      </c>
      <c r="E14" s="6">
        <v>52.65</v>
      </c>
      <c r="F14" s="6">
        <v>0</v>
      </c>
      <c r="G14" s="6">
        <v>1000</v>
      </c>
    </row>
    <row r="15" spans="1:7">
      <c r="A15" s="3">
        <v>45351</v>
      </c>
      <c r="B15" s="4" t="s">
        <v>8</v>
      </c>
      <c r="C15" s="5" t="s">
        <v>9</v>
      </c>
      <c r="D15" s="4" t="s">
        <v>10</v>
      </c>
      <c r="E15" s="6">
        <v>18.76</v>
      </c>
      <c r="F15" s="6">
        <v>0</v>
      </c>
      <c r="G15" s="6">
        <v>1029.31</v>
      </c>
    </row>
    <row r="16" spans="1:7">
      <c r="A16" s="3">
        <v>45351</v>
      </c>
      <c r="B16" s="4" t="s">
        <v>11</v>
      </c>
      <c r="C16" s="5" t="s">
        <v>12</v>
      </c>
      <c r="D16" s="4" t="s">
        <v>10</v>
      </c>
      <c r="E16" s="6">
        <v>21.95</v>
      </c>
      <c r="F16" s="6">
        <v>0</v>
      </c>
      <c r="G16" s="6">
        <v>1029.31</v>
      </c>
    </row>
    <row r="17" spans="1:7">
      <c r="A17" s="3">
        <v>45351</v>
      </c>
      <c r="B17" s="4" t="s">
        <v>13</v>
      </c>
      <c r="C17" s="5" t="s">
        <v>14</v>
      </c>
      <c r="D17" s="4" t="s">
        <v>15</v>
      </c>
      <c r="E17" s="6">
        <v>24.92</v>
      </c>
      <c r="F17" s="6">
        <v>0</v>
      </c>
      <c r="G17" s="6">
        <v>1029.31</v>
      </c>
    </row>
    <row r="18" spans="1:7">
      <c r="A18" s="3">
        <v>45351</v>
      </c>
      <c r="B18" s="4" t="s">
        <v>16</v>
      </c>
      <c r="C18" s="5" t="s">
        <v>17</v>
      </c>
      <c r="D18" s="4" t="s">
        <v>15</v>
      </c>
      <c r="E18" s="6">
        <v>27.85</v>
      </c>
      <c r="F18" s="6">
        <v>0</v>
      </c>
      <c r="G18" s="6">
        <v>1029.31</v>
      </c>
    </row>
    <row r="19" spans="1:7">
      <c r="A19" s="3">
        <v>45351</v>
      </c>
      <c r="B19" s="4" t="s">
        <v>18</v>
      </c>
      <c r="C19" s="5" t="s">
        <v>19</v>
      </c>
      <c r="D19" s="4" t="s">
        <v>20</v>
      </c>
      <c r="E19" s="6">
        <v>30.85</v>
      </c>
      <c r="F19" s="6">
        <v>0</v>
      </c>
      <c r="G19" s="6">
        <v>1029.31</v>
      </c>
    </row>
    <row r="20" spans="1:7">
      <c r="A20" s="3">
        <v>45351</v>
      </c>
      <c r="B20" s="4" t="s">
        <v>21</v>
      </c>
      <c r="C20" s="5" t="s">
        <v>22</v>
      </c>
      <c r="D20" s="4" t="s">
        <v>20</v>
      </c>
      <c r="E20" s="6">
        <v>34.45</v>
      </c>
      <c r="F20" s="6">
        <v>0</v>
      </c>
      <c r="G20" s="6">
        <v>1029.31</v>
      </c>
    </row>
    <row r="21" spans="1:7">
      <c r="A21" s="3">
        <v>45351</v>
      </c>
      <c r="B21" s="4" t="s">
        <v>23</v>
      </c>
      <c r="C21" s="5" t="s">
        <v>24</v>
      </c>
      <c r="D21" s="4" t="s">
        <v>25</v>
      </c>
      <c r="E21" s="6">
        <v>37.78</v>
      </c>
      <c r="F21" s="6">
        <v>0</v>
      </c>
      <c r="G21" s="6">
        <v>1029.31</v>
      </c>
    </row>
    <row r="22" spans="1:7">
      <c r="A22" s="3">
        <v>45351</v>
      </c>
      <c r="B22" s="4" t="s">
        <v>26</v>
      </c>
      <c r="C22" s="5" t="s">
        <v>27</v>
      </c>
      <c r="D22" s="4" t="s">
        <v>25</v>
      </c>
      <c r="E22" s="6">
        <v>42.08</v>
      </c>
      <c r="F22" s="6">
        <v>0</v>
      </c>
      <c r="G22" s="6">
        <v>1029.31</v>
      </c>
    </row>
    <row r="23" spans="1:7">
      <c r="A23" s="3">
        <v>45351</v>
      </c>
      <c r="B23" s="4" t="s">
        <v>28</v>
      </c>
      <c r="C23" s="5" t="s">
        <v>29</v>
      </c>
      <c r="D23" s="4" t="s">
        <v>30</v>
      </c>
      <c r="E23" s="6">
        <v>46.01</v>
      </c>
      <c r="F23" s="6">
        <v>0</v>
      </c>
      <c r="G23" s="6">
        <v>1029.31</v>
      </c>
    </row>
    <row r="24" spans="1:7">
      <c r="A24" s="3">
        <v>45351</v>
      </c>
      <c r="B24" s="4" t="s">
        <v>31</v>
      </c>
      <c r="C24" s="5" t="s">
        <v>32</v>
      </c>
      <c r="D24" s="4" t="s">
        <v>30</v>
      </c>
      <c r="E24" s="6">
        <v>49.56</v>
      </c>
      <c r="F24" s="6">
        <v>0</v>
      </c>
      <c r="G24" s="6">
        <v>1029.31</v>
      </c>
    </row>
    <row r="25" spans="1:7">
      <c r="A25" s="3">
        <v>45351</v>
      </c>
      <c r="B25" s="4" t="s">
        <v>33</v>
      </c>
      <c r="C25" s="5" t="s">
        <v>34</v>
      </c>
      <c r="D25" s="4" t="s">
        <v>35</v>
      </c>
      <c r="E25" s="6">
        <v>52.37</v>
      </c>
      <c r="F25" s="6">
        <v>0</v>
      </c>
      <c r="G25" s="6">
        <v>1029.31</v>
      </c>
    </row>
    <row r="26" spans="1:7">
      <c r="A26" s="3">
        <v>45351</v>
      </c>
      <c r="B26" s="4" t="s">
        <v>36</v>
      </c>
      <c r="C26" s="5" t="s">
        <v>37</v>
      </c>
      <c r="D26" s="4" t="s">
        <v>35</v>
      </c>
      <c r="E26" s="6">
        <v>54.69</v>
      </c>
      <c r="F26" s="6">
        <v>0</v>
      </c>
      <c r="G26" s="6">
        <v>1029.31</v>
      </c>
    </row>
    <row r="27" spans="1:7">
      <c r="A27" s="3">
        <v>45382</v>
      </c>
      <c r="B27" s="4" t="s">
        <v>8</v>
      </c>
      <c r="C27" s="5" t="s">
        <v>9</v>
      </c>
      <c r="D27" s="4" t="s">
        <v>10</v>
      </c>
      <c r="E27" s="6">
        <v>19.34</v>
      </c>
      <c r="F27" s="6">
        <v>0</v>
      </c>
      <c r="G27" s="6">
        <v>1056.81</v>
      </c>
    </row>
    <row r="28" spans="1:7">
      <c r="A28" s="3">
        <v>45382</v>
      </c>
      <c r="B28" s="4" t="s">
        <v>11</v>
      </c>
      <c r="C28" s="5" t="s">
        <v>12</v>
      </c>
      <c r="D28" s="4" t="s">
        <v>10</v>
      </c>
      <c r="E28" s="6">
        <v>22.16</v>
      </c>
      <c r="F28" s="6">
        <v>0</v>
      </c>
      <c r="G28" s="6">
        <v>1056.81</v>
      </c>
    </row>
    <row r="29" spans="1:7">
      <c r="A29" s="3">
        <v>45382</v>
      </c>
      <c r="B29" s="4" t="s">
        <v>13</v>
      </c>
      <c r="C29" s="5" t="s">
        <v>14</v>
      </c>
      <c r="D29" s="4" t="s">
        <v>15</v>
      </c>
      <c r="E29" s="6">
        <v>24.83</v>
      </c>
      <c r="F29" s="6">
        <v>0</v>
      </c>
      <c r="G29" s="6">
        <v>1056.81</v>
      </c>
    </row>
    <row r="30" spans="1:7">
      <c r="A30" s="3">
        <v>45382</v>
      </c>
      <c r="B30" s="4" t="s">
        <v>16</v>
      </c>
      <c r="C30" s="5" t="s">
        <v>17</v>
      </c>
      <c r="D30" s="4" t="s">
        <v>15</v>
      </c>
      <c r="E30" s="6">
        <v>28.21</v>
      </c>
      <c r="F30" s="6">
        <v>0</v>
      </c>
      <c r="G30" s="6">
        <v>1056.81</v>
      </c>
    </row>
    <row r="31" spans="1:7">
      <c r="A31" s="3">
        <v>45382</v>
      </c>
      <c r="B31" s="4" t="s">
        <v>18</v>
      </c>
      <c r="C31" s="5" t="s">
        <v>19</v>
      </c>
      <c r="D31" s="4" t="s">
        <v>20</v>
      </c>
      <c r="E31" s="6">
        <v>32.22</v>
      </c>
      <c r="F31" s="6">
        <v>0</v>
      </c>
      <c r="G31" s="6">
        <v>1056.81</v>
      </c>
    </row>
    <row r="32" spans="1:7">
      <c r="A32" s="3">
        <v>45382</v>
      </c>
      <c r="B32" s="4" t="s">
        <v>21</v>
      </c>
      <c r="C32" s="5" t="s">
        <v>22</v>
      </c>
      <c r="D32" s="4" t="s">
        <v>20</v>
      </c>
      <c r="E32" s="6">
        <v>36.88</v>
      </c>
      <c r="F32" s="6">
        <v>0</v>
      </c>
      <c r="G32" s="6">
        <v>1056.81</v>
      </c>
    </row>
    <row r="33" spans="1:7">
      <c r="A33" s="3">
        <v>45382</v>
      </c>
      <c r="B33" s="4" t="s">
        <v>23</v>
      </c>
      <c r="C33" s="5" t="s">
        <v>24</v>
      </c>
      <c r="D33" s="4" t="s">
        <v>25</v>
      </c>
      <c r="E33" s="6">
        <v>39.59</v>
      </c>
      <c r="F33" s="6">
        <v>0</v>
      </c>
      <c r="G33" s="6">
        <v>1056.81</v>
      </c>
    </row>
    <row r="34" spans="1:7">
      <c r="A34" s="3">
        <v>45382</v>
      </c>
      <c r="B34" s="4" t="s">
        <v>26</v>
      </c>
      <c r="C34" s="5" t="s">
        <v>27</v>
      </c>
      <c r="D34" s="4" t="s">
        <v>25</v>
      </c>
      <c r="E34" s="6">
        <v>43.22</v>
      </c>
      <c r="F34" s="6">
        <v>0</v>
      </c>
      <c r="G34" s="6">
        <v>1056.81</v>
      </c>
    </row>
    <row r="35" spans="1:7">
      <c r="A35" s="3">
        <v>45382</v>
      </c>
      <c r="B35" s="4" t="s">
        <v>28</v>
      </c>
      <c r="C35" s="5" t="s">
        <v>29</v>
      </c>
      <c r="D35" s="4" t="s">
        <v>30</v>
      </c>
      <c r="E35" s="6">
        <v>46.61</v>
      </c>
      <c r="F35" s="6">
        <v>0</v>
      </c>
      <c r="G35" s="6">
        <v>1056.81</v>
      </c>
    </row>
    <row r="36" spans="1:7">
      <c r="A36" s="3">
        <v>45382</v>
      </c>
      <c r="B36" s="4" t="s">
        <v>31</v>
      </c>
      <c r="C36" s="5" t="s">
        <v>32</v>
      </c>
      <c r="D36" s="4" t="s">
        <v>30</v>
      </c>
      <c r="E36" s="6">
        <v>50.99</v>
      </c>
      <c r="F36" s="6">
        <v>0</v>
      </c>
      <c r="G36" s="6">
        <v>1056.81</v>
      </c>
    </row>
    <row r="37" spans="1:7">
      <c r="A37" s="3">
        <v>45382</v>
      </c>
      <c r="B37" s="4" t="s">
        <v>33</v>
      </c>
      <c r="C37" s="5" t="s">
        <v>34</v>
      </c>
      <c r="D37" s="4" t="s">
        <v>35</v>
      </c>
      <c r="E37" s="6">
        <v>55.14</v>
      </c>
      <c r="F37" s="6">
        <v>0</v>
      </c>
      <c r="G37" s="6">
        <v>1056.81</v>
      </c>
    </row>
    <row r="38" spans="1:7">
      <c r="A38" s="3">
        <v>45382</v>
      </c>
      <c r="B38" s="4" t="s">
        <v>36</v>
      </c>
      <c r="C38" s="5" t="s">
        <v>37</v>
      </c>
      <c r="D38" s="4" t="s">
        <v>35</v>
      </c>
      <c r="E38" s="6">
        <v>57.88</v>
      </c>
      <c r="F38" s="6">
        <v>0</v>
      </c>
      <c r="G38" s="6">
        <v>1056.81</v>
      </c>
    </row>
    <row r="39" spans="1:7">
      <c r="A39" s="3">
        <v>45412</v>
      </c>
      <c r="B39" s="4" t="s">
        <v>8</v>
      </c>
      <c r="C39" s="5" t="s">
        <v>9</v>
      </c>
      <c r="D39" s="4" t="s">
        <v>10</v>
      </c>
      <c r="E39" s="6">
        <v>19.42</v>
      </c>
      <c r="F39" s="6">
        <v>0</v>
      </c>
      <c r="G39" s="6">
        <v>1070.26</v>
      </c>
    </row>
    <row r="40" spans="1:7">
      <c r="A40" s="3">
        <v>45412</v>
      </c>
      <c r="B40" s="4" t="s">
        <v>11</v>
      </c>
      <c r="C40" s="5" t="s">
        <v>12</v>
      </c>
      <c r="D40" s="4" t="s">
        <v>10</v>
      </c>
      <c r="E40" s="6">
        <v>21.72</v>
      </c>
      <c r="F40" s="6">
        <v>0</v>
      </c>
      <c r="G40" s="6">
        <v>1070.26</v>
      </c>
    </row>
    <row r="41" spans="1:7">
      <c r="A41" s="3">
        <v>45412</v>
      </c>
      <c r="B41" s="4" t="s">
        <v>13</v>
      </c>
      <c r="C41" s="5" t="s">
        <v>14</v>
      </c>
      <c r="D41" s="4" t="s">
        <v>15</v>
      </c>
      <c r="E41" s="6">
        <v>24.9</v>
      </c>
      <c r="F41" s="6">
        <v>0</v>
      </c>
      <c r="G41" s="6">
        <v>1070.26</v>
      </c>
    </row>
    <row r="42" spans="1:7">
      <c r="A42" s="3">
        <v>45412</v>
      </c>
      <c r="B42" s="4" t="s">
        <v>16</v>
      </c>
      <c r="C42" s="5" t="s">
        <v>17</v>
      </c>
      <c r="D42" s="4" t="s">
        <v>15</v>
      </c>
      <c r="E42" s="6">
        <v>29.42</v>
      </c>
      <c r="F42" s="6">
        <v>0</v>
      </c>
      <c r="G42" s="6">
        <v>1070.26</v>
      </c>
    </row>
    <row r="43" spans="1:7">
      <c r="A43" s="3">
        <v>45412</v>
      </c>
      <c r="B43" s="4" t="s">
        <v>18</v>
      </c>
      <c r="C43" s="5" t="s">
        <v>19</v>
      </c>
      <c r="D43" s="4" t="s">
        <v>20</v>
      </c>
      <c r="E43" s="6">
        <v>33.42</v>
      </c>
      <c r="F43" s="6">
        <v>0</v>
      </c>
      <c r="G43" s="6">
        <v>1070.26</v>
      </c>
    </row>
    <row r="44" spans="1:7">
      <c r="A44" s="3">
        <v>45412</v>
      </c>
      <c r="B44" s="4" t="s">
        <v>21</v>
      </c>
      <c r="C44" s="5" t="s">
        <v>22</v>
      </c>
      <c r="D44" s="4" t="s">
        <v>20</v>
      </c>
      <c r="E44" s="6">
        <v>37.29</v>
      </c>
      <c r="F44" s="6">
        <v>0</v>
      </c>
      <c r="G44" s="6">
        <v>1070.26</v>
      </c>
    </row>
    <row r="45" spans="1:7">
      <c r="A45" s="3">
        <v>45412</v>
      </c>
      <c r="B45" s="4" t="s">
        <v>23</v>
      </c>
      <c r="C45" s="5" t="s">
        <v>24</v>
      </c>
      <c r="D45" s="4" t="s">
        <v>25</v>
      </c>
      <c r="E45" s="6">
        <v>39.96</v>
      </c>
      <c r="F45" s="6">
        <v>0</v>
      </c>
      <c r="G45" s="6">
        <v>1070.26</v>
      </c>
    </row>
    <row r="46" spans="1:7">
      <c r="A46" s="3">
        <v>45412</v>
      </c>
      <c r="B46" s="4" t="s">
        <v>26</v>
      </c>
      <c r="C46" s="5" t="s">
        <v>27</v>
      </c>
      <c r="D46" s="4" t="s">
        <v>25</v>
      </c>
      <c r="E46" s="6">
        <v>45.11</v>
      </c>
      <c r="F46" s="6">
        <v>0</v>
      </c>
      <c r="G46" s="6">
        <v>1070.26</v>
      </c>
    </row>
    <row r="47" spans="1:7">
      <c r="A47" s="3">
        <v>45412</v>
      </c>
      <c r="B47" s="4" t="s">
        <v>28</v>
      </c>
      <c r="C47" s="5" t="s">
        <v>29</v>
      </c>
      <c r="D47" s="4" t="s">
        <v>30</v>
      </c>
      <c r="E47" s="6">
        <v>48.45</v>
      </c>
      <c r="F47" s="6">
        <v>0</v>
      </c>
      <c r="G47" s="6">
        <v>1070.26</v>
      </c>
    </row>
    <row r="48" spans="1:7">
      <c r="A48" s="3">
        <v>45412</v>
      </c>
      <c r="B48" s="4" t="s">
        <v>31</v>
      </c>
      <c r="C48" s="5" t="s">
        <v>32</v>
      </c>
      <c r="D48" s="4" t="s">
        <v>30</v>
      </c>
      <c r="E48" s="6">
        <v>51.13</v>
      </c>
      <c r="F48" s="6">
        <v>0</v>
      </c>
      <c r="G48" s="6">
        <v>1070.26</v>
      </c>
    </row>
    <row r="49" spans="1:7">
      <c r="A49" s="3">
        <v>45412</v>
      </c>
      <c r="B49" s="4" t="s">
        <v>33</v>
      </c>
      <c r="C49" s="5" t="s">
        <v>34</v>
      </c>
      <c r="D49" s="4" t="s">
        <v>35</v>
      </c>
      <c r="E49" s="6">
        <v>54.64</v>
      </c>
      <c r="F49" s="6">
        <v>0</v>
      </c>
      <c r="G49" s="6">
        <v>1070.26</v>
      </c>
    </row>
    <row r="50" spans="1:7">
      <c r="A50" s="3">
        <v>45412</v>
      </c>
      <c r="B50" s="4" t="s">
        <v>36</v>
      </c>
      <c r="C50" s="5" t="s">
        <v>37</v>
      </c>
      <c r="D50" s="4" t="s">
        <v>35</v>
      </c>
      <c r="E50" s="6">
        <v>59.12</v>
      </c>
      <c r="F50" s="6">
        <v>0</v>
      </c>
      <c r="G50" s="6">
        <v>1070.26</v>
      </c>
    </row>
    <row r="51" spans="1:7">
      <c r="A51" s="3">
        <v>45443</v>
      </c>
      <c r="B51" s="4" t="s">
        <v>8</v>
      </c>
      <c r="C51" s="5" t="s">
        <v>9</v>
      </c>
      <c r="D51" s="4" t="s">
        <v>10</v>
      </c>
      <c r="E51" s="6">
        <v>18.97</v>
      </c>
      <c r="F51" s="6">
        <v>0</v>
      </c>
      <c r="G51" s="6">
        <v>1067.03</v>
      </c>
    </row>
    <row r="52" spans="1:7">
      <c r="A52" s="3">
        <v>45443</v>
      </c>
      <c r="B52" s="4" t="s">
        <v>11</v>
      </c>
      <c r="C52" s="5" t="s">
        <v>12</v>
      </c>
      <c r="D52" s="4" t="s">
        <v>10</v>
      </c>
      <c r="E52" s="6">
        <v>21.26</v>
      </c>
      <c r="F52" s="6">
        <v>0</v>
      </c>
      <c r="G52" s="6">
        <v>1067.03</v>
      </c>
    </row>
    <row r="53" spans="1:7">
      <c r="A53" s="3">
        <v>45443</v>
      </c>
      <c r="B53" s="4" t="s">
        <v>13</v>
      </c>
      <c r="C53" s="5" t="s">
        <v>14</v>
      </c>
      <c r="D53" s="4" t="s">
        <v>15</v>
      </c>
      <c r="E53" s="6">
        <v>25.53</v>
      </c>
      <c r="F53" s="6">
        <v>0</v>
      </c>
      <c r="G53" s="6">
        <v>1067.03</v>
      </c>
    </row>
    <row r="54" spans="1:7">
      <c r="A54" s="3">
        <v>45443</v>
      </c>
      <c r="B54" s="4" t="s">
        <v>16</v>
      </c>
      <c r="C54" s="5" t="s">
        <v>17</v>
      </c>
      <c r="D54" s="4" t="s">
        <v>15</v>
      </c>
      <c r="E54" s="6">
        <v>29.83</v>
      </c>
      <c r="F54" s="6">
        <v>0</v>
      </c>
      <c r="G54" s="6">
        <v>1067.03</v>
      </c>
    </row>
    <row r="55" spans="1:7">
      <c r="A55" s="3">
        <v>45443</v>
      </c>
      <c r="B55" s="4" t="s">
        <v>18</v>
      </c>
      <c r="C55" s="5" t="s">
        <v>19</v>
      </c>
      <c r="D55" s="4" t="s">
        <v>20</v>
      </c>
      <c r="E55" s="6">
        <v>32.91</v>
      </c>
      <c r="F55" s="6">
        <v>0</v>
      </c>
      <c r="G55" s="6">
        <v>1067.03</v>
      </c>
    </row>
    <row r="56" spans="1:7">
      <c r="A56" s="3">
        <v>45443</v>
      </c>
      <c r="B56" s="4" t="s">
        <v>21</v>
      </c>
      <c r="C56" s="5" t="s">
        <v>22</v>
      </c>
      <c r="D56" s="4" t="s">
        <v>20</v>
      </c>
      <c r="E56" s="6">
        <v>38.07</v>
      </c>
      <c r="F56" s="6">
        <v>0</v>
      </c>
      <c r="G56" s="6">
        <v>1067.03</v>
      </c>
    </row>
    <row r="57" spans="1:7">
      <c r="A57" s="3">
        <v>45443</v>
      </c>
      <c r="B57" s="4" t="s">
        <v>23</v>
      </c>
      <c r="C57" s="5" t="s">
        <v>24</v>
      </c>
      <c r="D57" s="4" t="s">
        <v>25</v>
      </c>
      <c r="E57" s="6">
        <v>41.25</v>
      </c>
      <c r="F57" s="6">
        <v>0</v>
      </c>
      <c r="G57" s="6">
        <v>1067.03</v>
      </c>
    </row>
    <row r="58" spans="1:7">
      <c r="A58" s="3">
        <v>45443</v>
      </c>
      <c r="B58" s="4" t="s">
        <v>26</v>
      </c>
      <c r="C58" s="5" t="s">
        <v>27</v>
      </c>
      <c r="D58" s="4" t="s">
        <v>25</v>
      </c>
      <c r="E58" s="6">
        <v>44.59</v>
      </c>
      <c r="F58" s="6">
        <v>0</v>
      </c>
      <c r="G58" s="6">
        <v>1067.03</v>
      </c>
    </row>
    <row r="59" spans="1:7">
      <c r="A59" s="3">
        <v>45443</v>
      </c>
      <c r="B59" s="4" t="s">
        <v>28</v>
      </c>
      <c r="C59" s="5" t="s">
        <v>29</v>
      </c>
      <c r="D59" s="4" t="s">
        <v>30</v>
      </c>
      <c r="E59" s="6">
        <v>47.96</v>
      </c>
      <c r="F59" s="6">
        <v>0</v>
      </c>
      <c r="G59" s="6">
        <v>1067.03</v>
      </c>
    </row>
    <row r="60" spans="1:7">
      <c r="A60" s="3">
        <v>45443</v>
      </c>
      <c r="B60" s="4" t="s">
        <v>31</v>
      </c>
      <c r="C60" s="5" t="s">
        <v>32</v>
      </c>
      <c r="D60" s="4" t="s">
        <v>30</v>
      </c>
      <c r="E60" s="6">
        <v>52.07</v>
      </c>
      <c r="F60" s="6">
        <v>0</v>
      </c>
      <c r="G60" s="6">
        <v>1067.03</v>
      </c>
    </row>
    <row r="61" spans="1:7">
      <c r="A61" s="3">
        <v>45443</v>
      </c>
      <c r="B61" s="4" t="s">
        <v>33</v>
      </c>
      <c r="C61" s="5" t="s">
        <v>34</v>
      </c>
      <c r="D61" s="4" t="s">
        <v>35</v>
      </c>
      <c r="E61" s="6">
        <v>53.83</v>
      </c>
      <c r="F61" s="6">
        <v>0</v>
      </c>
      <c r="G61" s="6">
        <v>1067.03</v>
      </c>
    </row>
    <row r="62" spans="1:7">
      <c r="A62" s="3">
        <v>45443</v>
      </c>
      <c r="B62" s="4" t="s">
        <v>36</v>
      </c>
      <c r="C62" s="5" t="s">
        <v>37</v>
      </c>
      <c r="D62" s="4" t="s">
        <v>35</v>
      </c>
      <c r="E62" s="6">
        <v>57.23</v>
      </c>
      <c r="F62" s="6">
        <v>0</v>
      </c>
      <c r="G62" s="6">
        <v>1067.03</v>
      </c>
    </row>
    <row r="63" spans="1:7">
      <c r="A63" s="3">
        <v>45473</v>
      </c>
      <c r="B63" s="4" t="s">
        <v>8</v>
      </c>
      <c r="C63" s="5" t="s">
        <v>9</v>
      </c>
      <c r="D63" s="4" t="s">
        <v>10</v>
      </c>
      <c r="E63" s="6">
        <v>18.32</v>
      </c>
      <c r="F63" s="6">
        <v>0.08</v>
      </c>
      <c r="G63" s="6">
        <v>1056.05</v>
      </c>
    </row>
    <row r="64" spans="1:7">
      <c r="A64" s="3">
        <v>45473</v>
      </c>
      <c r="B64" s="4" t="s">
        <v>11</v>
      </c>
      <c r="C64" s="5" t="s">
        <v>12</v>
      </c>
      <c r="D64" s="4" t="s">
        <v>10</v>
      </c>
      <c r="E64" s="6">
        <v>21.37</v>
      </c>
      <c r="F64" s="6">
        <v>0.092</v>
      </c>
      <c r="G64" s="6">
        <v>1056.05</v>
      </c>
    </row>
    <row r="65" spans="1:7">
      <c r="A65" s="3">
        <v>45473</v>
      </c>
      <c r="B65" s="4" t="s">
        <v>13</v>
      </c>
      <c r="C65" s="5" t="s">
        <v>14</v>
      </c>
      <c r="D65" s="4" t="s">
        <v>15</v>
      </c>
      <c r="E65" s="6">
        <v>25.9</v>
      </c>
      <c r="F65" s="6">
        <v>0.104</v>
      </c>
      <c r="G65" s="6">
        <v>1056.05</v>
      </c>
    </row>
    <row r="66" spans="1:7">
      <c r="A66" s="3">
        <v>45473</v>
      </c>
      <c r="B66" s="4" t="s">
        <v>16</v>
      </c>
      <c r="C66" s="5" t="s">
        <v>17</v>
      </c>
      <c r="D66" s="4" t="s">
        <v>15</v>
      </c>
      <c r="E66" s="6">
        <v>29.26</v>
      </c>
      <c r="F66" s="6">
        <v>0.116</v>
      </c>
      <c r="G66" s="6">
        <v>1056.05</v>
      </c>
    </row>
    <row r="67" spans="1:7">
      <c r="A67" s="3">
        <v>45473</v>
      </c>
      <c r="B67" s="4" t="s">
        <v>18</v>
      </c>
      <c r="C67" s="5" t="s">
        <v>19</v>
      </c>
      <c r="D67" s="4" t="s">
        <v>20</v>
      </c>
      <c r="E67" s="6">
        <v>33.54</v>
      </c>
      <c r="F67" s="6">
        <v>0.128</v>
      </c>
      <c r="G67" s="6">
        <v>1056.05</v>
      </c>
    </row>
    <row r="68" spans="1:7">
      <c r="A68" s="3">
        <v>45473</v>
      </c>
      <c r="B68" s="4" t="s">
        <v>21</v>
      </c>
      <c r="C68" s="5" t="s">
        <v>22</v>
      </c>
      <c r="D68" s="4" t="s">
        <v>20</v>
      </c>
      <c r="E68" s="6">
        <v>38.23</v>
      </c>
      <c r="F68" s="6">
        <v>0.14</v>
      </c>
      <c r="G68" s="6">
        <v>1056.05</v>
      </c>
    </row>
    <row r="69" spans="1:7">
      <c r="A69" s="3">
        <v>45473</v>
      </c>
      <c r="B69" s="4" t="s">
        <v>23</v>
      </c>
      <c r="C69" s="5" t="s">
        <v>24</v>
      </c>
      <c r="D69" s="4" t="s">
        <v>25</v>
      </c>
      <c r="E69" s="6">
        <v>40.44</v>
      </c>
      <c r="F69" s="6">
        <v>0.152</v>
      </c>
      <c r="G69" s="6">
        <v>1056.05</v>
      </c>
    </row>
    <row r="70" spans="1:7">
      <c r="A70" s="3">
        <v>45473</v>
      </c>
      <c r="B70" s="4" t="s">
        <v>26</v>
      </c>
      <c r="C70" s="5" t="s">
        <v>27</v>
      </c>
      <c r="D70" s="4" t="s">
        <v>25</v>
      </c>
      <c r="E70" s="6">
        <v>45.43</v>
      </c>
      <c r="F70" s="6">
        <v>0.164</v>
      </c>
      <c r="G70" s="6">
        <v>1056.05</v>
      </c>
    </row>
    <row r="71" spans="1:7">
      <c r="A71" s="3">
        <v>45473</v>
      </c>
      <c r="B71" s="4" t="s">
        <v>28</v>
      </c>
      <c r="C71" s="5" t="s">
        <v>29</v>
      </c>
      <c r="D71" s="4" t="s">
        <v>30</v>
      </c>
      <c r="E71" s="6">
        <v>47.02</v>
      </c>
      <c r="F71" s="6">
        <v>0.176</v>
      </c>
      <c r="G71" s="6">
        <v>1056.05</v>
      </c>
    </row>
    <row r="72" spans="1:7">
      <c r="A72" s="3">
        <v>45473</v>
      </c>
      <c r="B72" s="4" t="s">
        <v>31</v>
      </c>
      <c r="C72" s="5" t="s">
        <v>32</v>
      </c>
      <c r="D72" s="4" t="s">
        <v>30</v>
      </c>
      <c r="E72" s="6">
        <v>50.26</v>
      </c>
      <c r="F72" s="6">
        <v>0.188</v>
      </c>
      <c r="G72" s="6">
        <v>1056.05</v>
      </c>
    </row>
    <row r="73" spans="1:7">
      <c r="A73" s="3">
        <v>45473</v>
      </c>
      <c r="B73" s="4" t="s">
        <v>33</v>
      </c>
      <c r="C73" s="5" t="s">
        <v>34</v>
      </c>
      <c r="D73" s="4" t="s">
        <v>35</v>
      </c>
      <c r="E73" s="6">
        <v>54.13</v>
      </c>
      <c r="F73" s="6">
        <v>0.2</v>
      </c>
      <c r="G73" s="6">
        <v>1056.05</v>
      </c>
    </row>
    <row r="74" spans="1:7">
      <c r="A74" s="3">
        <v>45473</v>
      </c>
      <c r="B74" s="4" t="s">
        <v>36</v>
      </c>
      <c r="C74" s="5" t="s">
        <v>37</v>
      </c>
      <c r="D74" s="4" t="s">
        <v>35</v>
      </c>
      <c r="E74" s="6">
        <v>55.46</v>
      </c>
      <c r="F74" s="6">
        <v>0.212</v>
      </c>
      <c r="G74" s="6">
        <v>1056.05</v>
      </c>
    </row>
    <row r="75" spans="1:7">
      <c r="A75" s="3">
        <v>45504</v>
      </c>
      <c r="B75" s="4" t="s">
        <v>8</v>
      </c>
      <c r="C75" s="5" t="s">
        <v>9</v>
      </c>
      <c r="D75" s="4" t="s">
        <v>10</v>
      </c>
      <c r="E75" s="6">
        <v>17.92</v>
      </c>
      <c r="F75" s="6">
        <v>0</v>
      </c>
      <c r="G75" s="6">
        <v>1051.68</v>
      </c>
    </row>
    <row r="76" spans="1:7">
      <c r="A76" s="3">
        <v>45504</v>
      </c>
      <c r="B76" s="4" t="s">
        <v>11</v>
      </c>
      <c r="C76" s="5" t="s">
        <v>12</v>
      </c>
      <c r="D76" s="4" t="s">
        <v>10</v>
      </c>
      <c r="E76" s="6">
        <v>22.05</v>
      </c>
      <c r="F76" s="6">
        <v>0</v>
      </c>
      <c r="G76" s="6">
        <v>1051.68</v>
      </c>
    </row>
    <row r="77" spans="1:7">
      <c r="A77" s="3">
        <v>45504</v>
      </c>
      <c r="B77" s="4" t="s">
        <v>13</v>
      </c>
      <c r="C77" s="5" t="s">
        <v>14</v>
      </c>
      <c r="D77" s="4" t="s">
        <v>15</v>
      </c>
      <c r="E77" s="6">
        <v>25.68</v>
      </c>
      <c r="F77" s="6">
        <v>0</v>
      </c>
      <c r="G77" s="6">
        <v>1051.68</v>
      </c>
    </row>
    <row r="78" spans="1:7">
      <c r="A78" s="3">
        <v>45504</v>
      </c>
      <c r="B78" s="4" t="s">
        <v>16</v>
      </c>
      <c r="C78" s="5" t="s">
        <v>17</v>
      </c>
      <c r="D78" s="4" t="s">
        <v>15</v>
      </c>
      <c r="E78" s="6">
        <v>29.93</v>
      </c>
      <c r="F78" s="6">
        <v>0</v>
      </c>
      <c r="G78" s="6">
        <v>1051.68</v>
      </c>
    </row>
    <row r="79" spans="1:7">
      <c r="A79" s="3">
        <v>45504</v>
      </c>
      <c r="B79" s="4" t="s">
        <v>18</v>
      </c>
      <c r="C79" s="5" t="s">
        <v>19</v>
      </c>
      <c r="D79" s="4" t="s">
        <v>20</v>
      </c>
      <c r="E79" s="6">
        <v>33.93</v>
      </c>
      <c r="F79" s="6">
        <v>0</v>
      </c>
      <c r="G79" s="6">
        <v>1051.68</v>
      </c>
    </row>
    <row r="80" spans="1:7">
      <c r="A80" s="3">
        <v>45504</v>
      </c>
      <c r="B80" s="4" t="s">
        <v>21</v>
      </c>
      <c r="C80" s="5" t="s">
        <v>22</v>
      </c>
      <c r="D80" s="4" t="s">
        <v>20</v>
      </c>
      <c r="E80" s="6">
        <v>37.73</v>
      </c>
      <c r="F80" s="6">
        <v>0</v>
      </c>
      <c r="G80" s="6">
        <v>1051.68</v>
      </c>
    </row>
    <row r="81" spans="1:7">
      <c r="A81" s="3">
        <v>45504</v>
      </c>
      <c r="B81" s="4" t="s">
        <v>23</v>
      </c>
      <c r="C81" s="5" t="s">
        <v>24</v>
      </c>
      <c r="D81" s="4" t="s">
        <v>25</v>
      </c>
      <c r="E81" s="6">
        <v>41.44</v>
      </c>
      <c r="F81" s="6">
        <v>0</v>
      </c>
      <c r="G81" s="6">
        <v>1051.68</v>
      </c>
    </row>
    <row r="82" spans="1:7">
      <c r="A82" s="3">
        <v>45504</v>
      </c>
      <c r="B82" s="4" t="s">
        <v>26</v>
      </c>
      <c r="C82" s="5" t="s">
        <v>27</v>
      </c>
      <c r="D82" s="4" t="s">
        <v>25</v>
      </c>
      <c r="E82" s="6">
        <v>44.13</v>
      </c>
      <c r="F82" s="6">
        <v>0</v>
      </c>
      <c r="G82" s="6">
        <v>1051.68</v>
      </c>
    </row>
    <row r="83" spans="1:7">
      <c r="A83" s="3">
        <v>45504</v>
      </c>
      <c r="B83" s="4" t="s">
        <v>28</v>
      </c>
      <c r="C83" s="5" t="s">
        <v>29</v>
      </c>
      <c r="D83" s="4" t="s">
        <v>30</v>
      </c>
      <c r="E83" s="6">
        <v>47.25</v>
      </c>
      <c r="F83" s="6">
        <v>0</v>
      </c>
      <c r="G83" s="6">
        <v>1051.68</v>
      </c>
    </row>
    <row r="84" spans="1:7">
      <c r="A84" s="3">
        <v>45504</v>
      </c>
      <c r="B84" s="4" t="s">
        <v>31</v>
      </c>
      <c r="C84" s="5" t="s">
        <v>32</v>
      </c>
      <c r="D84" s="4" t="s">
        <v>30</v>
      </c>
      <c r="E84" s="6">
        <v>49.35</v>
      </c>
      <c r="F84" s="6">
        <v>0</v>
      </c>
      <c r="G84" s="6">
        <v>1051.68</v>
      </c>
    </row>
    <row r="85" spans="1:7">
      <c r="A85" s="3">
        <v>45504</v>
      </c>
      <c r="B85" s="4" t="s">
        <v>33</v>
      </c>
      <c r="C85" s="5" t="s">
        <v>34</v>
      </c>
      <c r="D85" s="4" t="s">
        <v>35</v>
      </c>
      <c r="E85" s="6">
        <v>53.16</v>
      </c>
      <c r="F85" s="6">
        <v>0</v>
      </c>
      <c r="G85" s="6">
        <v>1051.68</v>
      </c>
    </row>
    <row r="86" spans="1:7">
      <c r="A86" s="3">
        <v>45504</v>
      </c>
      <c r="B86" s="4" t="s">
        <v>36</v>
      </c>
      <c r="C86" s="5" t="s">
        <v>37</v>
      </c>
      <c r="D86" s="4" t="s">
        <v>35</v>
      </c>
      <c r="E86" s="6">
        <v>56.31</v>
      </c>
      <c r="F86" s="6">
        <v>0</v>
      </c>
      <c r="G86" s="6">
        <v>1051.68</v>
      </c>
    </row>
    <row r="87" spans="1:7">
      <c r="A87" s="3">
        <v>45535</v>
      </c>
      <c r="B87" s="4" t="s">
        <v>8</v>
      </c>
      <c r="C87" s="5" t="s">
        <v>9</v>
      </c>
      <c r="D87" s="4" t="s">
        <v>10</v>
      </c>
      <c r="E87" s="6">
        <v>17.37</v>
      </c>
      <c r="F87" s="6">
        <v>0</v>
      </c>
      <c r="G87" s="6">
        <v>1006.53</v>
      </c>
    </row>
    <row r="88" spans="1:7">
      <c r="A88" s="3">
        <v>45535</v>
      </c>
      <c r="B88" s="4" t="s">
        <v>11</v>
      </c>
      <c r="C88" s="5" t="s">
        <v>12</v>
      </c>
      <c r="D88" s="4" t="s">
        <v>10</v>
      </c>
      <c r="E88" s="6">
        <v>21.86</v>
      </c>
      <c r="F88" s="6">
        <v>0</v>
      </c>
      <c r="G88" s="6">
        <v>1006.53</v>
      </c>
    </row>
    <row r="89" spans="1:7">
      <c r="A89" s="3">
        <v>45535</v>
      </c>
      <c r="B89" s="4" t="s">
        <v>13</v>
      </c>
      <c r="C89" s="5" t="s">
        <v>14</v>
      </c>
      <c r="D89" s="4" t="s">
        <v>15</v>
      </c>
      <c r="E89" s="6">
        <v>24.63</v>
      </c>
      <c r="F89" s="6">
        <v>0</v>
      </c>
      <c r="G89" s="6">
        <v>1006.53</v>
      </c>
    </row>
    <row r="90" spans="1:7">
      <c r="A90" s="3">
        <v>45535</v>
      </c>
      <c r="B90" s="4" t="s">
        <v>16</v>
      </c>
      <c r="C90" s="5" t="s">
        <v>17</v>
      </c>
      <c r="D90" s="4" t="s">
        <v>15</v>
      </c>
      <c r="E90" s="6">
        <v>29.61</v>
      </c>
      <c r="F90" s="6">
        <v>0</v>
      </c>
      <c r="G90" s="6">
        <v>1006.53</v>
      </c>
    </row>
    <row r="91" spans="1:7">
      <c r="A91" s="3">
        <v>45535</v>
      </c>
      <c r="B91" s="4" t="s">
        <v>18</v>
      </c>
      <c r="C91" s="5" t="s">
        <v>19</v>
      </c>
      <c r="D91" s="4" t="s">
        <v>20</v>
      </c>
      <c r="E91" s="6">
        <v>31.69</v>
      </c>
      <c r="F91" s="6">
        <v>0</v>
      </c>
      <c r="G91" s="6">
        <v>1006.53</v>
      </c>
    </row>
    <row r="92" spans="1:7">
      <c r="A92" s="3">
        <v>45535</v>
      </c>
      <c r="B92" s="4" t="s">
        <v>21</v>
      </c>
      <c r="C92" s="5" t="s">
        <v>22</v>
      </c>
      <c r="D92" s="4" t="s">
        <v>20</v>
      </c>
      <c r="E92" s="6">
        <v>36.59</v>
      </c>
      <c r="F92" s="6">
        <v>0</v>
      </c>
      <c r="G92" s="6">
        <v>1006.53</v>
      </c>
    </row>
    <row r="93" spans="1:7">
      <c r="A93" s="3">
        <v>45535</v>
      </c>
      <c r="B93" s="4" t="s">
        <v>23</v>
      </c>
      <c r="C93" s="5" t="s">
        <v>24</v>
      </c>
      <c r="D93" s="4" t="s">
        <v>25</v>
      </c>
      <c r="E93" s="6">
        <v>39.04</v>
      </c>
      <c r="F93" s="6">
        <v>0</v>
      </c>
      <c r="G93" s="6">
        <v>1006.53</v>
      </c>
    </row>
    <row r="94" spans="1:7">
      <c r="A94" s="3">
        <v>45535</v>
      </c>
      <c r="B94" s="4" t="s">
        <v>26</v>
      </c>
      <c r="C94" s="5" t="s">
        <v>27</v>
      </c>
      <c r="D94" s="4" t="s">
        <v>25</v>
      </c>
      <c r="E94" s="6">
        <v>43.42</v>
      </c>
      <c r="F94" s="6">
        <v>0</v>
      </c>
      <c r="G94" s="6">
        <v>1006.53</v>
      </c>
    </row>
    <row r="95" spans="1:7">
      <c r="A95" s="3">
        <v>45535</v>
      </c>
      <c r="B95" s="4" t="s">
        <v>28</v>
      </c>
      <c r="C95" s="5" t="s">
        <v>29</v>
      </c>
      <c r="D95" s="4" t="s">
        <v>30</v>
      </c>
      <c r="E95" s="6">
        <v>43.71</v>
      </c>
      <c r="F95" s="6">
        <v>0</v>
      </c>
      <c r="G95" s="6">
        <v>1006.53</v>
      </c>
    </row>
    <row r="96" spans="1:7">
      <c r="A96" s="3">
        <v>45535</v>
      </c>
      <c r="B96" s="4" t="s">
        <v>31</v>
      </c>
      <c r="C96" s="5" t="s">
        <v>32</v>
      </c>
      <c r="D96" s="4" t="s">
        <v>30</v>
      </c>
      <c r="E96" s="6">
        <v>47.89</v>
      </c>
      <c r="F96" s="6">
        <v>0</v>
      </c>
      <c r="G96" s="6">
        <v>1006.53</v>
      </c>
    </row>
    <row r="97" spans="1:7">
      <c r="A97" s="3">
        <v>45535</v>
      </c>
      <c r="B97" s="4" t="s">
        <v>33</v>
      </c>
      <c r="C97" s="5" t="s">
        <v>34</v>
      </c>
      <c r="D97" s="4" t="s">
        <v>35</v>
      </c>
      <c r="E97" s="6">
        <v>49.35</v>
      </c>
      <c r="F97" s="6">
        <v>0</v>
      </c>
      <c r="G97" s="6">
        <v>1006.53</v>
      </c>
    </row>
    <row r="98" spans="1:7">
      <c r="A98" s="3">
        <v>45535</v>
      </c>
      <c r="B98" s="4" t="s">
        <v>36</v>
      </c>
      <c r="C98" s="5" t="s">
        <v>37</v>
      </c>
      <c r="D98" s="4" t="s">
        <v>35</v>
      </c>
      <c r="E98" s="6">
        <v>54.54</v>
      </c>
      <c r="F98" s="6">
        <v>0</v>
      </c>
      <c r="G98" s="6">
        <v>1006.53</v>
      </c>
    </row>
    <row r="99" spans="1:7">
      <c r="A99" s="3">
        <v>45565</v>
      </c>
      <c r="B99" s="4" t="s">
        <v>8</v>
      </c>
      <c r="C99" s="5" t="s">
        <v>9</v>
      </c>
      <c r="D99" s="4" t="s">
        <v>10</v>
      </c>
      <c r="E99" s="6">
        <v>18.12</v>
      </c>
      <c r="F99" s="6">
        <v>0</v>
      </c>
      <c r="G99" s="6">
        <v>1035.31</v>
      </c>
    </row>
    <row r="100" spans="1:7">
      <c r="A100" s="3">
        <v>45565</v>
      </c>
      <c r="B100" s="4" t="s">
        <v>11</v>
      </c>
      <c r="C100" s="5" t="s">
        <v>12</v>
      </c>
      <c r="D100" s="4" t="s">
        <v>10</v>
      </c>
      <c r="E100" s="6">
        <v>22.43</v>
      </c>
      <c r="F100" s="6">
        <v>0</v>
      </c>
      <c r="G100" s="6">
        <v>1035.31</v>
      </c>
    </row>
    <row r="101" spans="1:7">
      <c r="A101" s="3">
        <v>45565</v>
      </c>
      <c r="B101" s="4" t="s">
        <v>13</v>
      </c>
      <c r="C101" s="5" t="s">
        <v>14</v>
      </c>
      <c r="D101" s="4" t="s">
        <v>15</v>
      </c>
      <c r="E101" s="6">
        <v>26.09</v>
      </c>
      <c r="F101" s="6">
        <v>0</v>
      </c>
      <c r="G101" s="6">
        <v>1035.31</v>
      </c>
    </row>
    <row r="102" spans="1:7">
      <c r="A102" s="3">
        <v>45565</v>
      </c>
      <c r="B102" s="4" t="s">
        <v>16</v>
      </c>
      <c r="C102" s="5" t="s">
        <v>17</v>
      </c>
      <c r="D102" s="4" t="s">
        <v>15</v>
      </c>
      <c r="E102" s="6">
        <v>30.26</v>
      </c>
      <c r="F102" s="6">
        <v>0</v>
      </c>
      <c r="G102" s="6">
        <v>1035.31</v>
      </c>
    </row>
    <row r="103" spans="1:7">
      <c r="A103" s="3">
        <v>45565</v>
      </c>
      <c r="B103" s="4" t="s">
        <v>18</v>
      </c>
      <c r="C103" s="5" t="s">
        <v>19</v>
      </c>
      <c r="D103" s="4" t="s">
        <v>20</v>
      </c>
      <c r="E103" s="6">
        <v>33.54</v>
      </c>
      <c r="F103" s="6">
        <v>0</v>
      </c>
      <c r="G103" s="6">
        <v>1035.31</v>
      </c>
    </row>
    <row r="104" spans="1:7">
      <c r="A104" s="3">
        <v>45565</v>
      </c>
      <c r="B104" s="4" t="s">
        <v>21</v>
      </c>
      <c r="C104" s="5" t="s">
        <v>22</v>
      </c>
      <c r="D104" s="4" t="s">
        <v>20</v>
      </c>
      <c r="E104" s="6">
        <v>36.96</v>
      </c>
      <c r="F104" s="6">
        <v>0</v>
      </c>
      <c r="G104" s="6">
        <v>1035.31</v>
      </c>
    </row>
    <row r="105" spans="1:7">
      <c r="A105" s="3">
        <v>45565</v>
      </c>
      <c r="B105" s="4" t="s">
        <v>23</v>
      </c>
      <c r="C105" s="5" t="s">
        <v>24</v>
      </c>
      <c r="D105" s="4" t="s">
        <v>25</v>
      </c>
      <c r="E105" s="6">
        <v>40.58</v>
      </c>
      <c r="F105" s="6">
        <v>0</v>
      </c>
      <c r="G105" s="6">
        <v>1035.31</v>
      </c>
    </row>
    <row r="106" spans="1:7">
      <c r="A106" s="3">
        <v>45565</v>
      </c>
      <c r="B106" s="4" t="s">
        <v>26</v>
      </c>
      <c r="C106" s="5" t="s">
        <v>27</v>
      </c>
      <c r="D106" s="4" t="s">
        <v>25</v>
      </c>
      <c r="E106" s="6">
        <v>43.13</v>
      </c>
      <c r="F106" s="6">
        <v>0</v>
      </c>
      <c r="G106" s="6">
        <v>1035.31</v>
      </c>
    </row>
    <row r="107" spans="1:7">
      <c r="A107" s="3">
        <v>45565</v>
      </c>
      <c r="B107" s="4" t="s">
        <v>28</v>
      </c>
      <c r="C107" s="5" t="s">
        <v>29</v>
      </c>
      <c r="D107" s="4" t="s">
        <v>30</v>
      </c>
      <c r="E107" s="6">
        <v>45.64</v>
      </c>
      <c r="F107" s="6">
        <v>0</v>
      </c>
      <c r="G107" s="6">
        <v>1035.31</v>
      </c>
    </row>
    <row r="108" spans="1:7">
      <c r="A108" s="3">
        <v>45565</v>
      </c>
      <c r="B108" s="4" t="s">
        <v>31</v>
      </c>
      <c r="C108" s="5" t="s">
        <v>32</v>
      </c>
      <c r="D108" s="4" t="s">
        <v>30</v>
      </c>
      <c r="E108" s="6">
        <v>48.27</v>
      </c>
      <c r="F108" s="6">
        <v>0</v>
      </c>
      <c r="G108" s="6">
        <v>1035.31</v>
      </c>
    </row>
    <row r="109" spans="1:7">
      <c r="A109" s="3">
        <v>45565</v>
      </c>
      <c r="B109" s="4" t="s">
        <v>33</v>
      </c>
      <c r="C109" s="5" t="s">
        <v>34</v>
      </c>
      <c r="D109" s="4" t="s">
        <v>35</v>
      </c>
      <c r="E109" s="6">
        <v>52.32</v>
      </c>
      <c r="F109" s="6">
        <v>0</v>
      </c>
      <c r="G109" s="6">
        <v>1035.31</v>
      </c>
    </row>
    <row r="110" spans="1:7">
      <c r="A110" s="3">
        <v>45565</v>
      </c>
      <c r="B110" s="4" t="s">
        <v>36</v>
      </c>
      <c r="C110" s="5" t="s">
        <v>37</v>
      </c>
      <c r="D110" s="4" t="s">
        <v>35</v>
      </c>
      <c r="E110" s="6">
        <v>56.46</v>
      </c>
      <c r="F110" s="6">
        <v>0</v>
      </c>
      <c r="G110" s="6">
        <v>1035.31</v>
      </c>
    </row>
    <row r="111" spans="1:7">
      <c r="A111" s="3">
        <v>45596</v>
      </c>
      <c r="B111" s="4" t="s">
        <v>8</v>
      </c>
      <c r="C111" s="5" t="s">
        <v>9</v>
      </c>
      <c r="D111" s="4" t="s">
        <v>10</v>
      </c>
      <c r="E111" s="6">
        <v>19.24</v>
      </c>
      <c r="F111" s="6">
        <v>0</v>
      </c>
      <c r="G111" s="6">
        <v>1071.43</v>
      </c>
    </row>
    <row r="112" spans="1:7">
      <c r="A112" s="3">
        <v>45596</v>
      </c>
      <c r="B112" s="4" t="s">
        <v>11</v>
      </c>
      <c r="C112" s="5" t="s">
        <v>12</v>
      </c>
      <c r="D112" s="4" t="s">
        <v>10</v>
      </c>
      <c r="E112" s="6">
        <v>22.83</v>
      </c>
      <c r="F112" s="6">
        <v>0</v>
      </c>
      <c r="G112" s="6">
        <v>1071.43</v>
      </c>
    </row>
    <row r="113" spans="1:7">
      <c r="A113" s="3">
        <v>45596</v>
      </c>
      <c r="B113" s="4" t="s">
        <v>13</v>
      </c>
      <c r="C113" s="5" t="s">
        <v>14</v>
      </c>
      <c r="D113" s="4" t="s">
        <v>15</v>
      </c>
      <c r="E113" s="6">
        <v>27.74</v>
      </c>
      <c r="F113" s="6">
        <v>0</v>
      </c>
      <c r="G113" s="6">
        <v>1071.43</v>
      </c>
    </row>
    <row r="114" spans="1:7">
      <c r="A114" s="3">
        <v>45596</v>
      </c>
      <c r="B114" s="4" t="s">
        <v>16</v>
      </c>
      <c r="C114" s="5" t="s">
        <v>17</v>
      </c>
      <c r="D114" s="4" t="s">
        <v>15</v>
      </c>
      <c r="E114" s="6">
        <v>31.29</v>
      </c>
      <c r="F114" s="6">
        <v>0</v>
      </c>
      <c r="G114" s="6">
        <v>1071.43</v>
      </c>
    </row>
    <row r="115" spans="1:7">
      <c r="A115" s="3">
        <v>45596</v>
      </c>
      <c r="B115" s="4" t="s">
        <v>18</v>
      </c>
      <c r="C115" s="5" t="s">
        <v>19</v>
      </c>
      <c r="D115" s="4" t="s">
        <v>20</v>
      </c>
      <c r="E115" s="6">
        <v>34.62</v>
      </c>
      <c r="F115" s="6">
        <v>0</v>
      </c>
      <c r="G115" s="6">
        <v>1071.43</v>
      </c>
    </row>
    <row r="116" spans="1:7">
      <c r="A116" s="3">
        <v>45596</v>
      </c>
      <c r="B116" s="4" t="s">
        <v>21</v>
      </c>
      <c r="C116" s="5" t="s">
        <v>22</v>
      </c>
      <c r="D116" s="4" t="s">
        <v>20</v>
      </c>
      <c r="E116" s="6">
        <v>39.03</v>
      </c>
      <c r="F116" s="6">
        <v>0</v>
      </c>
      <c r="G116" s="6">
        <v>1071.43</v>
      </c>
    </row>
    <row r="117" spans="1:7">
      <c r="A117" s="3">
        <v>45596</v>
      </c>
      <c r="B117" s="4" t="s">
        <v>23</v>
      </c>
      <c r="C117" s="5" t="s">
        <v>24</v>
      </c>
      <c r="D117" s="4" t="s">
        <v>25</v>
      </c>
      <c r="E117" s="6">
        <v>40.33</v>
      </c>
      <c r="F117" s="6">
        <v>0</v>
      </c>
      <c r="G117" s="6">
        <v>1071.43</v>
      </c>
    </row>
    <row r="118" spans="1:7">
      <c r="A118" s="3">
        <v>45596</v>
      </c>
      <c r="B118" s="4" t="s">
        <v>26</v>
      </c>
      <c r="C118" s="5" t="s">
        <v>27</v>
      </c>
      <c r="D118" s="4" t="s">
        <v>25</v>
      </c>
      <c r="E118" s="6">
        <v>45.27</v>
      </c>
      <c r="F118" s="6">
        <v>0</v>
      </c>
      <c r="G118" s="6">
        <v>1071.43</v>
      </c>
    </row>
    <row r="119" spans="1:7">
      <c r="A119" s="3">
        <v>45596</v>
      </c>
      <c r="B119" s="4" t="s">
        <v>28</v>
      </c>
      <c r="C119" s="5" t="s">
        <v>29</v>
      </c>
      <c r="D119" s="4" t="s">
        <v>30</v>
      </c>
      <c r="E119" s="6">
        <v>46.34</v>
      </c>
      <c r="F119" s="6">
        <v>0</v>
      </c>
      <c r="G119" s="6">
        <v>1071.43</v>
      </c>
    </row>
    <row r="120" spans="1:7">
      <c r="A120" s="3">
        <v>45596</v>
      </c>
      <c r="B120" s="4" t="s">
        <v>31</v>
      </c>
      <c r="C120" s="5" t="s">
        <v>32</v>
      </c>
      <c r="D120" s="4" t="s">
        <v>30</v>
      </c>
      <c r="E120" s="6">
        <v>50.51</v>
      </c>
      <c r="F120" s="6">
        <v>0</v>
      </c>
      <c r="G120" s="6">
        <v>1071.43</v>
      </c>
    </row>
    <row r="121" spans="1:7">
      <c r="A121" s="3">
        <v>45596</v>
      </c>
      <c r="B121" s="4" t="s">
        <v>33</v>
      </c>
      <c r="C121" s="5" t="s">
        <v>34</v>
      </c>
      <c r="D121" s="4" t="s">
        <v>35</v>
      </c>
      <c r="E121" s="6">
        <v>55.68</v>
      </c>
      <c r="F121" s="6">
        <v>0</v>
      </c>
      <c r="G121" s="6">
        <v>1071.43</v>
      </c>
    </row>
    <row r="122" spans="1:7">
      <c r="A122" s="3">
        <v>45596</v>
      </c>
      <c r="B122" s="4" t="s">
        <v>36</v>
      </c>
      <c r="C122" s="5" t="s">
        <v>37</v>
      </c>
      <c r="D122" s="4" t="s">
        <v>35</v>
      </c>
      <c r="E122" s="6">
        <v>58.87</v>
      </c>
      <c r="F122" s="6">
        <v>0</v>
      </c>
      <c r="G122" s="6">
        <v>1071.43</v>
      </c>
    </row>
    <row r="123" spans="1:7">
      <c r="A123" s="3">
        <v>45626</v>
      </c>
      <c r="B123" s="4" t="s">
        <v>8</v>
      </c>
      <c r="C123" s="5" t="s">
        <v>9</v>
      </c>
      <c r="D123" s="4" t="s">
        <v>10</v>
      </c>
      <c r="E123" s="6">
        <v>20.92</v>
      </c>
      <c r="F123" s="6">
        <v>0</v>
      </c>
      <c r="G123" s="6">
        <v>1147.26</v>
      </c>
    </row>
    <row r="124" spans="1:7">
      <c r="A124" s="3">
        <v>45626</v>
      </c>
      <c r="B124" s="4" t="s">
        <v>11</v>
      </c>
      <c r="C124" s="5" t="s">
        <v>12</v>
      </c>
      <c r="D124" s="4" t="s">
        <v>10</v>
      </c>
      <c r="E124" s="6">
        <v>24.19</v>
      </c>
      <c r="F124" s="6">
        <v>0</v>
      </c>
      <c r="G124" s="6">
        <v>1147.26</v>
      </c>
    </row>
    <row r="125" spans="1:7">
      <c r="A125" s="3">
        <v>45626</v>
      </c>
      <c r="B125" s="4" t="s">
        <v>13</v>
      </c>
      <c r="C125" s="5" t="s">
        <v>14</v>
      </c>
      <c r="D125" s="4" t="s">
        <v>15</v>
      </c>
      <c r="E125" s="6">
        <v>29.35</v>
      </c>
      <c r="F125" s="6">
        <v>0</v>
      </c>
      <c r="G125" s="6">
        <v>1147.26</v>
      </c>
    </row>
    <row r="126" spans="1:7">
      <c r="A126" s="3">
        <v>45626</v>
      </c>
      <c r="B126" s="4" t="s">
        <v>16</v>
      </c>
      <c r="C126" s="5" t="s">
        <v>17</v>
      </c>
      <c r="D126" s="4" t="s">
        <v>15</v>
      </c>
      <c r="E126" s="6">
        <v>34.43</v>
      </c>
      <c r="F126" s="6">
        <v>0</v>
      </c>
      <c r="G126" s="6">
        <v>1147.26</v>
      </c>
    </row>
    <row r="127" spans="1:7">
      <c r="A127" s="3">
        <v>45626</v>
      </c>
      <c r="B127" s="4" t="s">
        <v>18</v>
      </c>
      <c r="C127" s="5" t="s">
        <v>19</v>
      </c>
      <c r="D127" s="4" t="s">
        <v>20</v>
      </c>
      <c r="E127" s="6">
        <v>36.7</v>
      </c>
      <c r="F127" s="6">
        <v>0</v>
      </c>
      <c r="G127" s="6">
        <v>1147.26</v>
      </c>
    </row>
    <row r="128" spans="1:7">
      <c r="A128" s="3">
        <v>45626</v>
      </c>
      <c r="B128" s="4" t="s">
        <v>21</v>
      </c>
      <c r="C128" s="5" t="s">
        <v>22</v>
      </c>
      <c r="D128" s="4" t="s">
        <v>20</v>
      </c>
      <c r="E128" s="6">
        <v>42.15</v>
      </c>
      <c r="F128" s="6">
        <v>0</v>
      </c>
      <c r="G128" s="6">
        <v>1147.26</v>
      </c>
    </row>
    <row r="129" spans="1:7">
      <c r="A129" s="3">
        <v>45626</v>
      </c>
      <c r="B129" s="4" t="s">
        <v>23</v>
      </c>
      <c r="C129" s="5" t="s">
        <v>24</v>
      </c>
      <c r="D129" s="4" t="s">
        <v>25</v>
      </c>
      <c r="E129" s="6">
        <v>43.11</v>
      </c>
      <c r="F129" s="6">
        <v>0</v>
      </c>
      <c r="G129" s="6">
        <v>1147.26</v>
      </c>
    </row>
    <row r="130" spans="1:7">
      <c r="A130" s="3">
        <v>45626</v>
      </c>
      <c r="B130" s="4" t="s">
        <v>26</v>
      </c>
      <c r="C130" s="5" t="s">
        <v>27</v>
      </c>
      <c r="D130" s="4" t="s">
        <v>25</v>
      </c>
      <c r="E130" s="6">
        <v>47.04</v>
      </c>
      <c r="F130" s="6">
        <v>0</v>
      </c>
      <c r="G130" s="6">
        <v>1147.26</v>
      </c>
    </row>
    <row r="131" spans="1:7">
      <c r="A131" s="3">
        <v>45626</v>
      </c>
      <c r="B131" s="4" t="s">
        <v>28</v>
      </c>
      <c r="C131" s="5" t="s">
        <v>29</v>
      </c>
      <c r="D131" s="4" t="s">
        <v>30</v>
      </c>
      <c r="E131" s="6">
        <v>49.84</v>
      </c>
      <c r="F131" s="6">
        <v>0</v>
      </c>
      <c r="G131" s="6">
        <v>1147.26</v>
      </c>
    </row>
    <row r="132" spans="1:7">
      <c r="A132" s="3">
        <v>45626</v>
      </c>
      <c r="B132" s="4" t="s">
        <v>31</v>
      </c>
      <c r="C132" s="5" t="s">
        <v>32</v>
      </c>
      <c r="D132" s="4" t="s">
        <v>30</v>
      </c>
      <c r="E132" s="6">
        <v>55.83</v>
      </c>
      <c r="F132" s="6">
        <v>0</v>
      </c>
      <c r="G132" s="6">
        <v>1147.26</v>
      </c>
    </row>
    <row r="133" spans="1:7">
      <c r="A133" s="3">
        <v>45626</v>
      </c>
      <c r="B133" s="4" t="s">
        <v>33</v>
      </c>
      <c r="C133" s="5" t="s">
        <v>34</v>
      </c>
      <c r="D133" s="4" t="s">
        <v>35</v>
      </c>
      <c r="E133" s="6">
        <v>59.93</v>
      </c>
      <c r="F133" s="6">
        <v>0</v>
      </c>
      <c r="G133" s="6">
        <v>1147.26</v>
      </c>
    </row>
    <row r="134" spans="1:7">
      <c r="A134" s="3">
        <v>45626</v>
      </c>
      <c r="B134" s="4" t="s">
        <v>36</v>
      </c>
      <c r="C134" s="5" t="s">
        <v>37</v>
      </c>
      <c r="D134" s="4" t="s">
        <v>35</v>
      </c>
      <c r="E134" s="6">
        <v>66.13</v>
      </c>
      <c r="F134" s="6">
        <v>0</v>
      </c>
      <c r="G134" s="6">
        <v>1147.26</v>
      </c>
    </row>
    <row r="135" spans="1:7">
      <c r="A135" s="3">
        <v>45657</v>
      </c>
      <c r="B135" s="4" t="s">
        <v>8</v>
      </c>
      <c r="C135" s="5" t="s">
        <v>9</v>
      </c>
      <c r="D135" s="4" t="s">
        <v>10</v>
      </c>
      <c r="E135" s="6">
        <v>21.42</v>
      </c>
      <c r="F135" s="6">
        <v>0</v>
      </c>
      <c r="G135" s="6">
        <v>1152.52</v>
      </c>
    </row>
    <row r="136" spans="1:7">
      <c r="A136" s="3">
        <v>45657</v>
      </c>
      <c r="B136" s="4" t="s">
        <v>11</v>
      </c>
      <c r="C136" s="5" t="s">
        <v>12</v>
      </c>
      <c r="D136" s="4" t="s">
        <v>10</v>
      </c>
      <c r="E136" s="6">
        <v>24.76</v>
      </c>
      <c r="F136" s="6">
        <v>0</v>
      </c>
      <c r="G136" s="6">
        <v>1152.52</v>
      </c>
    </row>
    <row r="137" spans="1:7">
      <c r="A137" s="3">
        <v>45657</v>
      </c>
      <c r="B137" s="4" t="s">
        <v>13</v>
      </c>
      <c r="C137" s="5" t="s">
        <v>14</v>
      </c>
      <c r="D137" s="4" t="s">
        <v>15</v>
      </c>
      <c r="E137" s="6">
        <v>28.77</v>
      </c>
      <c r="F137" s="6">
        <v>0</v>
      </c>
      <c r="G137" s="6">
        <v>1152.52</v>
      </c>
    </row>
    <row r="138" spans="1:7">
      <c r="A138" s="3">
        <v>45657</v>
      </c>
      <c r="B138" s="4" t="s">
        <v>16</v>
      </c>
      <c r="C138" s="5" t="s">
        <v>17</v>
      </c>
      <c r="D138" s="4" t="s">
        <v>15</v>
      </c>
      <c r="E138" s="6">
        <v>34.25</v>
      </c>
      <c r="F138" s="6">
        <v>0</v>
      </c>
      <c r="G138" s="6">
        <v>1152.52</v>
      </c>
    </row>
    <row r="139" spans="1:7">
      <c r="A139" s="3">
        <v>45657</v>
      </c>
      <c r="B139" s="4" t="s">
        <v>18</v>
      </c>
      <c r="C139" s="5" t="s">
        <v>19</v>
      </c>
      <c r="D139" s="4" t="s">
        <v>20</v>
      </c>
      <c r="E139" s="6">
        <v>37.47</v>
      </c>
      <c r="F139" s="6">
        <v>0</v>
      </c>
      <c r="G139" s="6">
        <v>1152.52</v>
      </c>
    </row>
    <row r="140" spans="1:7">
      <c r="A140" s="3">
        <v>45657</v>
      </c>
      <c r="B140" s="4" t="s">
        <v>21</v>
      </c>
      <c r="C140" s="5" t="s">
        <v>22</v>
      </c>
      <c r="D140" s="4" t="s">
        <v>20</v>
      </c>
      <c r="E140" s="6">
        <v>41.81</v>
      </c>
      <c r="F140" s="6">
        <v>0</v>
      </c>
      <c r="G140" s="6">
        <v>1152.52</v>
      </c>
    </row>
    <row r="141" spans="1:7">
      <c r="A141" s="3">
        <v>45657</v>
      </c>
      <c r="B141" s="4" t="s">
        <v>23</v>
      </c>
      <c r="C141" s="5" t="s">
        <v>24</v>
      </c>
      <c r="D141" s="4" t="s">
        <v>25</v>
      </c>
      <c r="E141" s="6">
        <v>42.38</v>
      </c>
      <c r="F141" s="6">
        <v>0</v>
      </c>
      <c r="G141" s="6">
        <v>1152.52</v>
      </c>
    </row>
    <row r="142" spans="1:7">
      <c r="A142" s="3">
        <v>45657</v>
      </c>
      <c r="B142" s="4" t="s">
        <v>26</v>
      </c>
      <c r="C142" s="5" t="s">
        <v>27</v>
      </c>
      <c r="D142" s="4" t="s">
        <v>25</v>
      </c>
      <c r="E142" s="6">
        <v>48.49</v>
      </c>
      <c r="F142" s="6">
        <v>0</v>
      </c>
      <c r="G142" s="6">
        <v>1152.52</v>
      </c>
    </row>
    <row r="143" spans="1:7">
      <c r="A143" s="3">
        <v>45657</v>
      </c>
      <c r="B143" s="4" t="s">
        <v>28</v>
      </c>
      <c r="C143" s="5" t="s">
        <v>29</v>
      </c>
      <c r="D143" s="4" t="s">
        <v>30</v>
      </c>
      <c r="E143" s="6">
        <v>51.06</v>
      </c>
      <c r="F143" s="6">
        <v>0</v>
      </c>
      <c r="G143" s="6">
        <v>1152.52</v>
      </c>
    </row>
    <row r="144" spans="1:7">
      <c r="A144" s="3">
        <v>45657</v>
      </c>
      <c r="B144" s="4" t="s">
        <v>31</v>
      </c>
      <c r="C144" s="5" t="s">
        <v>32</v>
      </c>
      <c r="D144" s="4" t="s">
        <v>30</v>
      </c>
      <c r="E144" s="6">
        <v>55.56</v>
      </c>
      <c r="F144" s="6">
        <v>0</v>
      </c>
      <c r="G144" s="6">
        <v>1152.52</v>
      </c>
    </row>
    <row r="145" spans="1:7">
      <c r="A145" s="3">
        <v>45657</v>
      </c>
      <c r="B145" s="4" t="s">
        <v>33</v>
      </c>
      <c r="C145" s="5" t="s">
        <v>34</v>
      </c>
      <c r="D145" s="4" t="s">
        <v>35</v>
      </c>
      <c r="E145" s="6">
        <v>61.45</v>
      </c>
      <c r="F145" s="6">
        <v>0</v>
      </c>
      <c r="G145" s="6">
        <v>1152.52</v>
      </c>
    </row>
    <row r="146" spans="1:7">
      <c r="A146" s="3">
        <v>45657</v>
      </c>
      <c r="B146" s="4" t="s">
        <v>36</v>
      </c>
      <c r="C146" s="5" t="s">
        <v>37</v>
      </c>
      <c r="D146" s="4" t="s">
        <v>35</v>
      </c>
      <c r="E146" s="6">
        <v>69.06999999999999</v>
      </c>
      <c r="F146" s="6">
        <v>0</v>
      </c>
      <c r="G146" s="6">
        <v>1152.52</v>
      </c>
    </row>
    <row r="147" spans="1:7">
      <c r="A147" s="3">
        <v>45688</v>
      </c>
      <c r="B147" s="4" t="s">
        <v>8</v>
      </c>
      <c r="C147" s="5" t="s">
        <v>9</v>
      </c>
      <c r="D147" s="4" t="s">
        <v>10</v>
      </c>
      <c r="E147" s="6">
        <v>21.06</v>
      </c>
      <c r="F147" s="6">
        <v>0</v>
      </c>
      <c r="G147" s="6">
        <v>1131.4</v>
      </c>
    </row>
    <row r="148" spans="1:7">
      <c r="A148" s="3">
        <v>45688</v>
      </c>
      <c r="B148" s="4" t="s">
        <v>11</v>
      </c>
      <c r="C148" s="5" t="s">
        <v>12</v>
      </c>
      <c r="D148" s="4" t="s">
        <v>10</v>
      </c>
      <c r="E148" s="6">
        <v>24.89</v>
      </c>
      <c r="F148" s="6">
        <v>0</v>
      </c>
      <c r="G148" s="6">
        <v>1131.4</v>
      </c>
    </row>
    <row r="149" spans="1:7">
      <c r="A149" s="3">
        <v>45688</v>
      </c>
      <c r="B149" s="4" t="s">
        <v>13</v>
      </c>
      <c r="C149" s="5" t="s">
        <v>14</v>
      </c>
      <c r="D149" s="4" t="s">
        <v>15</v>
      </c>
      <c r="E149" s="6">
        <v>28.36</v>
      </c>
      <c r="F149" s="6">
        <v>0</v>
      </c>
      <c r="G149" s="6">
        <v>1131.4</v>
      </c>
    </row>
    <row r="150" spans="1:7">
      <c r="A150" s="3">
        <v>45688</v>
      </c>
      <c r="B150" s="4" t="s">
        <v>16</v>
      </c>
      <c r="C150" s="5" t="s">
        <v>17</v>
      </c>
      <c r="D150" s="4" t="s">
        <v>15</v>
      </c>
      <c r="E150" s="6">
        <v>32.62</v>
      </c>
      <c r="F150" s="6">
        <v>0</v>
      </c>
      <c r="G150" s="6">
        <v>1131.4</v>
      </c>
    </row>
    <row r="151" spans="1:7">
      <c r="A151" s="3">
        <v>45688</v>
      </c>
      <c r="B151" s="4" t="s">
        <v>18</v>
      </c>
      <c r="C151" s="5" t="s">
        <v>19</v>
      </c>
      <c r="D151" s="4" t="s">
        <v>20</v>
      </c>
      <c r="E151" s="6">
        <v>35.86</v>
      </c>
      <c r="F151" s="6">
        <v>0</v>
      </c>
      <c r="G151" s="6">
        <v>1131.4</v>
      </c>
    </row>
    <row r="152" spans="1:7">
      <c r="A152" s="3">
        <v>45688</v>
      </c>
      <c r="B152" s="4" t="s">
        <v>21</v>
      </c>
      <c r="C152" s="5" t="s">
        <v>22</v>
      </c>
      <c r="D152" s="4" t="s">
        <v>20</v>
      </c>
      <c r="E152" s="6">
        <v>41.57</v>
      </c>
      <c r="F152" s="6">
        <v>0</v>
      </c>
      <c r="G152" s="6">
        <v>1131.4</v>
      </c>
    </row>
    <row r="153" spans="1:7">
      <c r="A153" s="3">
        <v>45688</v>
      </c>
      <c r="B153" s="4" t="s">
        <v>23</v>
      </c>
      <c r="C153" s="5" t="s">
        <v>24</v>
      </c>
      <c r="D153" s="4" t="s">
        <v>25</v>
      </c>
      <c r="E153" s="6">
        <v>42.84</v>
      </c>
      <c r="F153" s="6">
        <v>0</v>
      </c>
      <c r="G153" s="6">
        <v>1131.4</v>
      </c>
    </row>
    <row r="154" spans="1:7">
      <c r="A154" s="3">
        <v>45688</v>
      </c>
      <c r="B154" s="4" t="s">
        <v>26</v>
      </c>
      <c r="C154" s="5" t="s">
        <v>27</v>
      </c>
      <c r="D154" s="4" t="s">
        <v>25</v>
      </c>
      <c r="E154" s="6">
        <v>47.62</v>
      </c>
      <c r="F154" s="6">
        <v>0</v>
      </c>
      <c r="G154" s="6">
        <v>1131.4</v>
      </c>
    </row>
    <row r="155" spans="1:7">
      <c r="A155" s="3">
        <v>45688</v>
      </c>
      <c r="B155" s="4" t="s">
        <v>28</v>
      </c>
      <c r="C155" s="5" t="s">
        <v>29</v>
      </c>
      <c r="D155" s="4" t="s">
        <v>30</v>
      </c>
      <c r="E155" s="6">
        <v>49.8</v>
      </c>
      <c r="F155" s="6">
        <v>0</v>
      </c>
      <c r="G155" s="6">
        <v>1131.4</v>
      </c>
    </row>
    <row r="156" spans="1:7">
      <c r="A156" s="3">
        <v>45688</v>
      </c>
      <c r="B156" s="4" t="s">
        <v>31</v>
      </c>
      <c r="C156" s="5" t="s">
        <v>32</v>
      </c>
      <c r="D156" s="4" t="s">
        <v>30</v>
      </c>
      <c r="E156" s="6">
        <v>55.99</v>
      </c>
      <c r="F156" s="6">
        <v>0</v>
      </c>
      <c r="G156" s="6">
        <v>1131.4</v>
      </c>
    </row>
    <row r="157" spans="1:7">
      <c r="A157" s="3">
        <v>45688</v>
      </c>
      <c r="B157" s="4" t="s">
        <v>33</v>
      </c>
      <c r="C157" s="5" t="s">
        <v>34</v>
      </c>
      <c r="D157" s="4" t="s">
        <v>35</v>
      </c>
      <c r="E157" s="6">
        <v>62.39</v>
      </c>
      <c r="F157" s="6">
        <v>0</v>
      </c>
      <c r="G157" s="6">
        <v>1131.4</v>
      </c>
    </row>
    <row r="158" spans="1:7">
      <c r="A158" s="3">
        <v>45688</v>
      </c>
      <c r="B158" s="4" t="s">
        <v>36</v>
      </c>
      <c r="C158" s="5" t="s">
        <v>37</v>
      </c>
      <c r="D158" s="4" t="s">
        <v>35</v>
      </c>
      <c r="E158" s="6">
        <v>67.59999999999999</v>
      </c>
      <c r="F158" s="6">
        <v>0</v>
      </c>
      <c r="G158" s="6">
        <v>1131.4</v>
      </c>
    </row>
    <row r="159" spans="1:7">
      <c r="A159" s="3">
        <v>45716</v>
      </c>
      <c r="B159" s="4" t="s">
        <v>8</v>
      </c>
      <c r="C159" s="5" t="s">
        <v>9</v>
      </c>
      <c r="D159" s="4" t="s">
        <v>10</v>
      </c>
      <c r="E159" s="6">
        <v>20.07</v>
      </c>
      <c r="F159" s="6">
        <v>0</v>
      </c>
      <c r="G159" s="6">
        <v>1096.01</v>
      </c>
    </row>
    <row r="160" spans="1:7">
      <c r="A160" s="3">
        <v>45716</v>
      </c>
      <c r="B160" s="4" t="s">
        <v>11</v>
      </c>
      <c r="C160" s="5" t="s">
        <v>12</v>
      </c>
      <c r="D160" s="4" t="s">
        <v>10</v>
      </c>
      <c r="E160" s="6">
        <v>24.16</v>
      </c>
      <c r="F160" s="6">
        <v>0</v>
      </c>
      <c r="G160" s="6">
        <v>1096.01</v>
      </c>
    </row>
    <row r="161" spans="1:7">
      <c r="A161" s="3">
        <v>45716</v>
      </c>
      <c r="B161" s="4" t="s">
        <v>13</v>
      </c>
      <c r="C161" s="5" t="s">
        <v>14</v>
      </c>
      <c r="D161" s="4" t="s">
        <v>15</v>
      </c>
      <c r="E161" s="6">
        <v>27.99</v>
      </c>
      <c r="F161" s="6">
        <v>0</v>
      </c>
      <c r="G161" s="6">
        <v>1096.01</v>
      </c>
    </row>
    <row r="162" spans="1:7">
      <c r="A162" s="3">
        <v>45716</v>
      </c>
      <c r="B162" s="4" t="s">
        <v>16</v>
      </c>
      <c r="C162" s="5" t="s">
        <v>17</v>
      </c>
      <c r="D162" s="4" t="s">
        <v>15</v>
      </c>
      <c r="E162" s="6">
        <v>31.97</v>
      </c>
      <c r="F162" s="6">
        <v>0</v>
      </c>
      <c r="G162" s="6">
        <v>1096.01</v>
      </c>
    </row>
    <row r="163" spans="1:7">
      <c r="A163" s="3">
        <v>45716</v>
      </c>
      <c r="B163" s="4" t="s">
        <v>18</v>
      </c>
      <c r="C163" s="5" t="s">
        <v>19</v>
      </c>
      <c r="D163" s="4" t="s">
        <v>20</v>
      </c>
      <c r="E163" s="6">
        <v>34.14</v>
      </c>
      <c r="F163" s="6">
        <v>0</v>
      </c>
      <c r="G163" s="6">
        <v>1096.01</v>
      </c>
    </row>
    <row r="164" spans="1:7">
      <c r="A164" s="3">
        <v>45716</v>
      </c>
      <c r="B164" s="4" t="s">
        <v>21</v>
      </c>
      <c r="C164" s="5" t="s">
        <v>22</v>
      </c>
      <c r="D164" s="4" t="s">
        <v>20</v>
      </c>
      <c r="E164" s="6">
        <v>39.04</v>
      </c>
      <c r="F164" s="6">
        <v>0</v>
      </c>
      <c r="G164" s="6">
        <v>1096.01</v>
      </c>
    </row>
    <row r="165" spans="1:7">
      <c r="A165" s="3">
        <v>45716</v>
      </c>
      <c r="B165" s="4" t="s">
        <v>23</v>
      </c>
      <c r="C165" s="5" t="s">
        <v>24</v>
      </c>
      <c r="D165" s="4" t="s">
        <v>25</v>
      </c>
      <c r="E165" s="6">
        <v>41.8</v>
      </c>
      <c r="F165" s="6">
        <v>0</v>
      </c>
      <c r="G165" s="6">
        <v>1096.01</v>
      </c>
    </row>
    <row r="166" spans="1:7">
      <c r="A166" s="3">
        <v>45716</v>
      </c>
      <c r="B166" s="4" t="s">
        <v>26</v>
      </c>
      <c r="C166" s="5" t="s">
        <v>27</v>
      </c>
      <c r="D166" s="4" t="s">
        <v>25</v>
      </c>
      <c r="E166" s="6">
        <v>47.77</v>
      </c>
      <c r="F166" s="6">
        <v>0</v>
      </c>
      <c r="G166" s="6">
        <v>1096.01</v>
      </c>
    </row>
    <row r="167" spans="1:7">
      <c r="A167" s="3">
        <v>45716</v>
      </c>
      <c r="B167" s="4" t="s">
        <v>28</v>
      </c>
      <c r="C167" s="5" t="s">
        <v>29</v>
      </c>
      <c r="D167" s="4" t="s">
        <v>30</v>
      </c>
      <c r="E167" s="6">
        <v>50.26</v>
      </c>
      <c r="F167" s="6">
        <v>0</v>
      </c>
      <c r="G167" s="6">
        <v>1096.01</v>
      </c>
    </row>
    <row r="168" spans="1:7">
      <c r="A168" s="3">
        <v>45716</v>
      </c>
      <c r="B168" s="4" t="s">
        <v>31</v>
      </c>
      <c r="C168" s="5" t="s">
        <v>32</v>
      </c>
      <c r="D168" s="4" t="s">
        <v>30</v>
      </c>
      <c r="E168" s="6">
        <v>55.41</v>
      </c>
      <c r="F168" s="6">
        <v>0</v>
      </c>
      <c r="G168" s="6">
        <v>1096.01</v>
      </c>
    </row>
    <row r="169" spans="1:7">
      <c r="A169" s="3">
        <v>45716</v>
      </c>
      <c r="B169" s="4" t="s">
        <v>33</v>
      </c>
      <c r="C169" s="5" t="s">
        <v>34</v>
      </c>
      <c r="D169" s="4" t="s">
        <v>35</v>
      </c>
      <c r="E169" s="6">
        <v>59.64</v>
      </c>
      <c r="F169" s="6">
        <v>0</v>
      </c>
      <c r="G169" s="6">
        <v>1096.01</v>
      </c>
    </row>
    <row r="170" spans="1:7">
      <c r="A170" s="3">
        <v>45716</v>
      </c>
      <c r="B170" s="4" t="s">
        <v>36</v>
      </c>
      <c r="C170" s="5" t="s">
        <v>37</v>
      </c>
      <c r="D170" s="4" t="s">
        <v>35</v>
      </c>
      <c r="E170" s="6">
        <v>63.43</v>
      </c>
      <c r="F170" s="6">
        <v>0</v>
      </c>
      <c r="G170" s="6">
        <v>1096.01</v>
      </c>
    </row>
    <row r="171" spans="1:7">
      <c r="A171" s="3">
        <v>45747</v>
      </c>
      <c r="B171" s="4" t="s">
        <v>8</v>
      </c>
      <c r="C171" s="5" t="s">
        <v>9</v>
      </c>
      <c r="D171" s="4" t="s">
        <v>10</v>
      </c>
      <c r="E171" s="6">
        <v>19</v>
      </c>
      <c r="F171" s="6">
        <v>0</v>
      </c>
      <c r="G171" s="6">
        <v>1065.83</v>
      </c>
    </row>
    <row r="172" spans="1:7">
      <c r="A172" s="3">
        <v>45747</v>
      </c>
      <c r="B172" s="4" t="s">
        <v>11</v>
      </c>
      <c r="C172" s="5" t="s">
        <v>12</v>
      </c>
      <c r="D172" s="4" t="s">
        <v>10</v>
      </c>
      <c r="E172" s="6">
        <v>22.91</v>
      </c>
      <c r="F172" s="6">
        <v>0</v>
      </c>
      <c r="G172" s="6">
        <v>1065.83</v>
      </c>
    </row>
    <row r="173" spans="1:7">
      <c r="A173" s="3">
        <v>45747</v>
      </c>
      <c r="B173" s="4" t="s">
        <v>13</v>
      </c>
      <c r="C173" s="5" t="s">
        <v>14</v>
      </c>
      <c r="D173" s="4" t="s">
        <v>15</v>
      </c>
      <c r="E173" s="6">
        <v>26.97</v>
      </c>
      <c r="F173" s="6">
        <v>0</v>
      </c>
      <c r="G173" s="6">
        <v>1065.83</v>
      </c>
    </row>
    <row r="174" spans="1:7">
      <c r="A174" s="3">
        <v>45747</v>
      </c>
      <c r="B174" s="4" t="s">
        <v>16</v>
      </c>
      <c r="C174" s="5" t="s">
        <v>17</v>
      </c>
      <c r="D174" s="4" t="s">
        <v>15</v>
      </c>
      <c r="E174" s="6">
        <v>31.47</v>
      </c>
      <c r="F174" s="6">
        <v>0</v>
      </c>
      <c r="G174" s="6">
        <v>1065.83</v>
      </c>
    </row>
    <row r="175" spans="1:7">
      <c r="A175" s="3">
        <v>45747</v>
      </c>
      <c r="B175" s="4" t="s">
        <v>18</v>
      </c>
      <c r="C175" s="5" t="s">
        <v>19</v>
      </c>
      <c r="D175" s="4" t="s">
        <v>20</v>
      </c>
      <c r="E175" s="6">
        <v>33.96</v>
      </c>
      <c r="F175" s="6">
        <v>0</v>
      </c>
      <c r="G175" s="6">
        <v>1065.83</v>
      </c>
    </row>
    <row r="176" spans="1:7">
      <c r="A176" s="3">
        <v>45747</v>
      </c>
      <c r="B176" s="4" t="s">
        <v>21</v>
      </c>
      <c r="C176" s="5" t="s">
        <v>22</v>
      </c>
      <c r="D176" s="4" t="s">
        <v>20</v>
      </c>
      <c r="E176" s="6">
        <v>38.95</v>
      </c>
      <c r="F176" s="6">
        <v>0</v>
      </c>
      <c r="G176" s="6">
        <v>1065.83</v>
      </c>
    </row>
    <row r="177" spans="1:7">
      <c r="A177" s="3">
        <v>45747</v>
      </c>
      <c r="B177" s="4" t="s">
        <v>23</v>
      </c>
      <c r="C177" s="5" t="s">
        <v>24</v>
      </c>
      <c r="D177" s="4" t="s">
        <v>25</v>
      </c>
      <c r="E177" s="6">
        <v>42.07</v>
      </c>
      <c r="F177" s="6">
        <v>0</v>
      </c>
      <c r="G177" s="6">
        <v>1065.83</v>
      </c>
    </row>
    <row r="178" spans="1:7">
      <c r="A178" s="3">
        <v>45747</v>
      </c>
      <c r="B178" s="4" t="s">
        <v>26</v>
      </c>
      <c r="C178" s="5" t="s">
        <v>27</v>
      </c>
      <c r="D178" s="4" t="s">
        <v>25</v>
      </c>
      <c r="E178" s="6">
        <v>47.15</v>
      </c>
      <c r="F178" s="6">
        <v>0</v>
      </c>
      <c r="G178" s="6">
        <v>1065.83</v>
      </c>
    </row>
    <row r="179" spans="1:7">
      <c r="A179" s="3">
        <v>45747</v>
      </c>
      <c r="B179" s="4" t="s">
        <v>28</v>
      </c>
      <c r="C179" s="5" t="s">
        <v>29</v>
      </c>
      <c r="D179" s="4" t="s">
        <v>30</v>
      </c>
      <c r="E179" s="6">
        <v>48.44</v>
      </c>
      <c r="F179" s="6">
        <v>0</v>
      </c>
      <c r="G179" s="6">
        <v>1065.83</v>
      </c>
    </row>
    <row r="180" spans="1:7">
      <c r="A180" s="3">
        <v>45747</v>
      </c>
      <c r="B180" s="4" t="s">
        <v>31</v>
      </c>
      <c r="C180" s="5" t="s">
        <v>32</v>
      </c>
      <c r="D180" s="4" t="s">
        <v>30</v>
      </c>
      <c r="E180" s="6">
        <v>52.85</v>
      </c>
      <c r="F180" s="6">
        <v>0</v>
      </c>
      <c r="G180" s="6">
        <v>1065.83</v>
      </c>
    </row>
    <row r="181" spans="1:7">
      <c r="A181" s="3">
        <v>45747</v>
      </c>
      <c r="B181" s="4" t="s">
        <v>33</v>
      </c>
      <c r="C181" s="5" t="s">
        <v>34</v>
      </c>
      <c r="D181" s="4" t="s">
        <v>35</v>
      </c>
      <c r="E181" s="6">
        <v>56.96</v>
      </c>
      <c r="F181" s="6">
        <v>0</v>
      </c>
      <c r="G181" s="6">
        <v>1065.83</v>
      </c>
    </row>
    <row r="182" spans="1:7">
      <c r="A182" s="3">
        <v>45747</v>
      </c>
      <c r="B182" s="4" t="s">
        <v>36</v>
      </c>
      <c r="C182" s="5" t="s">
        <v>37</v>
      </c>
      <c r="D182" s="4" t="s">
        <v>35</v>
      </c>
      <c r="E182" s="6">
        <v>61.19</v>
      </c>
      <c r="F182" s="6">
        <v>0</v>
      </c>
      <c r="G182" s="6">
        <v>1065.83</v>
      </c>
    </row>
    <row r="183" spans="1:7">
      <c r="A183" s="3">
        <v>45777</v>
      </c>
      <c r="B183" s="4" t="s">
        <v>8</v>
      </c>
      <c r="C183" s="5" t="s">
        <v>9</v>
      </c>
      <c r="D183" s="4" t="s">
        <v>10</v>
      </c>
      <c r="E183" s="6">
        <v>17.63</v>
      </c>
      <c r="F183" s="6">
        <v>0</v>
      </c>
      <c r="G183" s="6">
        <v>997.52</v>
      </c>
    </row>
    <row r="184" spans="1:7">
      <c r="A184" s="3">
        <v>45777</v>
      </c>
      <c r="B184" s="4" t="s">
        <v>11</v>
      </c>
      <c r="C184" s="5" t="s">
        <v>12</v>
      </c>
      <c r="D184" s="4" t="s">
        <v>10</v>
      </c>
      <c r="E184" s="6">
        <v>21.03</v>
      </c>
      <c r="F184" s="6">
        <v>0</v>
      </c>
      <c r="G184" s="6">
        <v>997.52</v>
      </c>
    </row>
    <row r="185" spans="1:7">
      <c r="A185" s="3">
        <v>45777</v>
      </c>
      <c r="B185" s="4" t="s">
        <v>13</v>
      </c>
      <c r="C185" s="5" t="s">
        <v>14</v>
      </c>
      <c r="D185" s="4" t="s">
        <v>15</v>
      </c>
      <c r="E185" s="6">
        <v>24.65</v>
      </c>
      <c r="F185" s="6">
        <v>0</v>
      </c>
      <c r="G185" s="6">
        <v>997.52</v>
      </c>
    </row>
    <row r="186" spans="1:7">
      <c r="A186" s="3">
        <v>45777</v>
      </c>
      <c r="B186" s="4" t="s">
        <v>16</v>
      </c>
      <c r="C186" s="5" t="s">
        <v>17</v>
      </c>
      <c r="D186" s="4" t="s">
        <v>15</v>
      </c>
      <c r="E186" s="6">
        <v>28.77</v>
      </c>
      <c r="F186" s="6">
        <v>0</v>
      </c>
      <c r="G186" s="6">
        <v>997.52</v>
      </c>
    </row>
    <row r="187" spans="1:7">
      <c r="A187" s="3">
        <v>45777</v>
      </c>
      <c r="B187" s="4" t="s">
        <v>18</v>
      </c>
      <c r="C187" s="5" t="s">
        <v>19</v>
      </c>
      <c r="D187" s="4" t="s">
        <v>20</v>
      </c>
      <c r="E187" s="6">
        <v>30.99</v>
      </c>
      <c r="F187" s="6">
        <v>0</v>
      </c>
      <c r="G187" s="6">
        <v>997.52</v>
      </c>
    </row>
    <row r="188" spans="1:7">
      <c r="A188" s="3">
        <v>45777</v>
      </c>
      <c r="B188" s="4" t="s">
        <v>21</v>
      </c>
      <c r="C188" s="5" t="s">
        <v>22</v>
      </c>
      <c r="D188" s="4" t="s">
        <v>20</v>
      </c>
      <c r="E188" s="6">
        <v>35.68</v>
      </c>
      <c r="F188" s="6">
        <v>0</v>
      </c>
      <c r="G188" s="6">
        <v>997.52</v>
      </c>
    </row>
    <row r="189" spans="1:7">
      <c r="A189" s="3">
        <v>45777</v>
      </c>
      <c r="B189" s="4" t="s">
        <v>23</v>
      </c>
      <c r="C189" s="5" t="s">
        <v>24</v>
      </c>
      <c r="D189" s="4" t="s">
        <v>25</v>
      </c>
      <c r="E189" s="6">
        <v>40.59</v>
      </c>
      <c r="F189" s="6">
        <v>0</v>
      </c>
      <c r="G189" s="6">
        <v>997.52</v>
      </c>
    </row>
    <row r="190" spans="1:7">
      <c r="A190" s="3">
        <v>45777</v>
      </c>
      <c r="B190" s="4" t="s">
        <v>26</v>
      </c>
      <c r="C190" s="5" t="s">
        <v>27</v>
      </c>
      <c r="D190" s="4" t="s">
        <v>25</v>
      </c>
      <c r="E190" s="6">
        <v>45.49</v>
      </c>
      <c r="F190" s="6">
        <v>0</v>
      </c>
      <c r="G190" s="6">
        <v>997.52</v>
      </c>
    </row>
    <row r="191" spans="1:7">
      <c r="A191" s="3">
        <v>45777</v>
      </c>
      <c r="B191" s="4" t="s">
        <v>28</v>
      </c>
      <c r="C191" s="5" t="s">
        <v>29</v>
      </c>
      <c r="D191" s="4" t="s">
        <v>30</v>
      </c>
      <c r="E191" s="6">
        <v>46.35</v>
      </c>
      <c r="F191" s="6">
        <v>0</v>
      </c>
      <c r="G191" s="6">
        <v>997.52</v>
      </c>
    </row>
    <row r="192" spans="1:7">
      <c r="A192" s="3">
        <v>45777</v>
      </c>
      <c r="B192" s="4" t="s">
        <v>31</v>
      </c>
      <c r="C192" s="5" t="s">
        <v>32</v>
      </c>
      <c r="D192" s="4" t="s">
        <v>30</v>
      </c>
      <c r="E192" s="6">
        <v>50.27</v>
      </c>
      <c r="F192" s="6">
        <v>0</v>
      </c>
      <c r="G192" s="6">
        <v>997.52</v>
      </c>
    </row>
    <row r="193" spans="1:7">
      <c r="A193" s="3">
        <v>45777</v>
      </c>
      <c r="B193" s="4" t="s">
        <v>33</v>
      </c>
      <c r="C193" s="5" t="s">
        <v>34</v>
      </c>
      <c r="D193" s="4" t="s">
        <v>35</v>
      </c>
      <c r="E193" s="6">
        <v>53.75</v>
      </c>
      <c r="F193" s="6">
        <v>0</v>
      </c>
      <c r="G193" s="6">
        <v>997.52</v>
      </c>
    </row>
    <row r="194" spans="1:7">
      <c r="A194" s="3">
        <v>45777</v>
      </c>
      <c r="B194" s="4" t="s">
        <v>36</v>
      </c>
      <c r="C194" s="5" t="s">
        <v>37</v>
      </c>
      <c r="D194" s="4" t="s">
        <v>35</v>
      </c>
      <c r="E194" s="6">
        <v>57.22</v>
      </c>
      <c r="F194" s="6">
        <v>0</v>
      </c>
      <c r="G194" s="6">
        <v>997.52</v>
      </c>
    </row>
    <row r="195" spans="1:7">
      <c r="A195" s="3">
        <v>45808</v>
      </c>
      <c r="B195" s="4" t="s">
        <v>8</v>
      </c>
      <c r="C195" s="5" t="s">
        <v>9</v>
      </c>
      <c r="D195" s="4" t="s">
        <v>10</v>
      </c>
      <c r="E195" s="6">
        <v>17.69</v>
      </c>
      <c r="F195" s="6">
        <v>0</v>
      </c>
      <c r="G195" s="6">
        <v>1011.96</v>
      </c>
    </row>
    <row r="196" spans="1:7">
      <c r="A196" s="3">
        <v>45808</v>
      </c>
      <c r="B196" s="4" t="s">
        <v>11</v>
      </c>
      <c r="C196" s="5" t="s">
        <v>12</v>
      </c>
      <c r="D196" s="4" t="s">
        <v>10</v>
      </c>
      <c r="E196" s="6">
        <v>21.28</v>
      </c>
      <c r="F196" s="6">
        <v>0</v>
      </c>
      <c r="G196" s="6">
        <v>1011.96</v>
      </c>
    </row>
    <row r="197" spans="1:7">
      <c r="A197" s="3">
        <v>45808</v>
      </c>
      <c r="B197" s="4" t="s">
        <v>13</v>
      </c>
      <c r="C197" s="5" t="s">
        <v>14</v>
      </c>
      <c r="D197" s="4" t="s">
        <v>15</v>
      </c>
      <c r="E197" s="6">
        <v>25.17</v>
      </c>
      <c r="F197" s="6">
        <v>0</v>
      </c>
      <c r="G197" s="6">
        <v>1011.96</v>
      </c>
    </row>
    <row r="198" spans="1:7">
      <c r="A198" s="3">
        <v>45808</v>
      </c>
      <c r="B198" s="4" t="s">
        <v>16</v>
      </c>
      <c r="C198" s="5" t="s">
        <v>17</v>
      </c>
      <c r="D198" s="4" t="s">
        <v>15</v>
      </c>
      <c r="E198" s="6">
        <v>29.63</v>
      </c>
      <c r="F198" s="6">
        <v>0</v>
      </c>
      <c r="G198" s="6">
        <v>1011.96</v>
      </c>
    </row>
    <row r="199" spans="1:7">
      <c r="A199" s="3">
        <v>45808</v>
      </c>
      <c r="B199" s="4" t="s">
        <v>18</v>
      </c>
      <c r="C199" s="5" t="s">
        <v>19</v>
      </c>
      <c r="D199" s="4" t="s">
        <v>20</v>
      </c>
      <c r="E199" s="6">
        <v>31.98</v>
      </c>
      <c r="F199" s="6">
        <v>0</v>
      </c>
      <c r="G199" s="6">
        <v>1011.96</v>
      </c>
    </row>
    <row r="200" spans="1:7">
      <c r="A200" s="3">
        <v>45808</v>
      </c>
      <c r="B200" s="4" t="s">
        <v>21</v>
      </c>
      <c r="C200" s="5" t="s">
        <v>22</v>
      </c>
      <c r="D200" s="4" t="s">
        <v>20</v>
      </c>
      <c r="E200" s="6">
        <v>36.96</v>
      </c>
      <c r="F200" s="6">
        <v>0</v>
      </c>
      <c r="G200" s="6">
        <v>1011.96</v>
      </c>
    </row>
    <row r="201" spans="1:7">
      <c r="A201" s="3">
        <v>45808</v>
      </c>
      <c r="B201" s="4" t="s">
        <v>23</v>
      </c>
      <c r="C201" s="5" t="s">
        <v>24</v>
      </c>
      <c r="D201" s="4" t="s">
        <v>25</v>
      </c>
      <c r="E201" s="6">
        <v>41.64</v>
      </c>
      <c r="F201" s="6">
        <v>0</v>
      </c>
      <c r="G201" s="6">
        <v>1011.96</v>
      </c>
    </row>
    <row r="202" spans="1:7">
      <c r="A202" s="3">
        <v>45808</v>
      </c>
      <c r="B202" s="4" t="s">
        <v>26</v>
      </c>
      <c r="C202" s="5" t="s">
        <v>27</v>
      </c>
      <c r="D202" s="4" t="s">
        <v>25</v>
      </c>
      <c r="E202" s="6">
        <v>46.58</v>
      </c>
      <c r="F202" s="6">
        <v>0</v>
      </c>
      <c r="G202" s="6">
        <v>1011.96</v>
      </c>
    </row>
    <row r="203" spans="1:7">
      <c r="A203" s="3">
        <v>45808</v>
      </c>
      <c r="B203" s="4" t="s">
        <v>28</v>
      </c>
      <c r="C203" s="5" t="s">
        <v>29</v>
      </c>
      <c r="D203" s="4" t="s">
        <v>30</v>
      </c>
      <c r="E203" s="6">
        <v>47.09</v>
      </c>
      <c r="F203" s="6">
        <v>0</v>
      </c>
      <c r="G203" s="6">
        <v>1011.96</v>
      </c>
    </row>
    <row r="204" spans="1:7">
      <c r="A204" s="3">
        <v>45808</v>
      </c>
      <c r="B204" s="4" t="s">
        <v>31</v>
      </c>
      <c r="C204" s="5" t="s">
        <v>32</v>
      </c>
      <c r="D204" s="4" t="s">
        <v>30</v>
      </c>
      <c r="E204" s="6">
        <v>50.95</v>
      </c>
      <c r="F204" s="6">
        <v>0</v>
      </c>
      <c r="G204" s="6">
        <v>1011.96</v>
      </c>
    </row>
    <row r="205" spans="1:7">
      <c r="A205" s="3">
        <v>45808</v>
      </c>
      <c r="B205" s="4" t="s">
        <v>33</v>
      </c>
      <c r="C205" s="5" t="s">
        <v>34</v>
      </c>
      <c r="D205" s="4" t="s">
        <v>35</v>
      </c>
      <c r="E205" s="6">
        <v>54.45</v>
      </c>
      <c r="F205" s="6">
        <v>0</v>
      </c>
      <c r="G205" s="6">
        <v>1011.96</v>
      </c>
    </row>
    <row r="206" spans="1:7">
      <c r="A206" s="3">
        <v>45808</v>
      </c>
      <c r="B206" s="4" t="s">
        <v>36</v>
      </c>
      <c r="C206" s="5" t="s">
        <v>37</v>
      </c>
      <c r="D206" s="4" t="s">
        <v>35</v>
      </c>
      <c r="E206" s="6">
        <v>58.12</v>
      </c>
      <c r="F206" s="6">
        <v>0</v>
      </c>
      <c r="G206" s="6">
        <v>1011.96</v>
      </c>
    </row>
    <row r="207" spans="1:7">
      <c r="A207" s="3">
        <v>45838</v>
      </c>
      <c r="B207" s="4" t="s">
        <v>8</v>
      </c>
      <c r="C207" s="5" t="s">
        <v>9</v>
      </c>
      <c r="D207" s="4" t="s">
        <v>10</v>
      </c>
      <c r="E207" s="6">
        <v>18.35</v>
      </c>
      <c r="F207" s="6">
        <v>0.08</v>
      </c>
      <c r="G207" s="6">
        <v>1043.6</v>
      </c>
    </row>
    <row r="208" spans="1:7">
      <c r="A208" s="3">
        <v>45838</v>
      </c>
      <c r="B208" s="4" t="s">
        <v>11</v>
      </c>
      <c r="C208" s="5" t="s">
        <v>12</v>
      </c>
      <c r="D208" s="4" t="s">
        <v>10</v>
      </c>
      <c r="E208" s="6">
        <v>22.43</v>
      </c>
      <c r="F208" s="6">
        <v>0.092</v>
      </c>
      <c r="G208" s="6">
        <v>1043.6</v>
      </c>
    </row>
    <row r="209" spans="1:7">
      <c r="A209" s="3">
        <v>45838</v>
      </c>
      <c r="B209" s="4" t="s">
        <v>13</v>
      </c>
      <c r="C209" s="5" t="s">
        <v>14</v>
      </c>
      <c r="D209" s="4" t="s">
        <v>15</v>
      </c>
      <c r="E209" s="6">
        <v>26.86</v>
      </c>
      <c r="F209" s="6">
        <v>0.104</v>
      </c>
      <c r="G209" s="6">
        <v>1043.6</v>
      </c>
    </row>
    <row r="210" spans="1:7">
      <c r="A210" s="3">
        <v>45838</v>
      </c>
      <c r="B210" s="4" t="s">
        <v>16</v>
      </c>
      <c r="C210" s="5" t="s">
        <v>17</v>
      </c>
      <c r="D210" s="4" t="s">
        <v>15</v>
      </c>
      <c r="E210" s="6">
        <v>31.85</v>
      </c>
      <c r="F210" s="6">
        <v>0.116</v>
      </c>
      <c r="G210" s="6">
        <v>1043.6</v>
      </c>
    </row>
    <row r="211" spans="1:7">
      <c r="A211" s="3">
        <v>45838</v>
      </c>
      <c r="B211" s="4" t="s">
        <v>18</v>
      </c>
      <c r="C211" s="5" t="s">
        <v>19</v>
      </c>
      <c r="D211" s="4" t="s">
        <v>20</v>
      </c>
      <c r="E211" s="6">
        <v>34.26</v>
      </c>
      <c r="F211" s="6">
        <v>0.128</v>
      </c>
      <c r="G211" s="6">
        <v>1043.6</v>
      </c>
    </row>
    <row r="212" spans="1:7">
      <c r="A212" s="3">
        <v>45838</v>
      </c>
      <c r="B212" s="4" t="s">
        <v>21</v>
      </c>
      <c r="C212" s="5" t="s">
        <v>22</v>
      </c>
      <c r="D212" s="4" t="s">
        <v>20</v>
      </c>
      <c r="E212" s="6">
        <v>39.41</v>
      </c>
      <c r="F212" s="6">
        <v>0.14</v>
      </c>
      <c r="G212" s="6">
        <v>1043.6</v>
      </c>
    </row>
    <row r="213" spans="1:7">
      <c r="A213" s="3">
        <v>45838</v>
      </c>
      <c r="B213" s="4" t="s">
        <v>23</v>
      </c>
      <c r="C213" s="5" t="s">
        <v>24</v>
      </c>
      <c r="D213" s="4" t="s">
        <v>25</v>
      </c>
      <c r="E213" s="6">
        <v>43.09</v>
      </c>
      <c r="F213" s="6">
        <v>0.152</v>
      </c>
      <c r="G213" s="6">
        <v>1043.6</v>
      </c>
    </row>
    <row r="214" spans="1:7">
      <c r="A214" s="3">
        <v>45838</v>
      </c>
      <c r="B214" s="4" t="s">
        <v>26</v>
      </c>
      <c r="C214" s="5" t="s">
        <v>27</v>
      </c>
      <c r="D214" s="4" t="s">
        <v>25</v>
      </c>
      <c r="E214" s="6">
        <v>47.7</v>
      </c>
      <c r="F214" s="6">
        <v>0.164</v>
      </c>
      <c r="G214" s="6">
        <v>1043.6</v>
      </c>
    </row>
    <row r="215" spans="1:7">
      <c r="A215" s="3">
        <v>45838</v>
      </c>
      <c r="B215" s="4" t="s">
        <v>28</v>
      </c>
      <c r="C215" s="5" t="s">
        <v>29</v>
      </c>
      <c r="D215" s="4" t="s">
        <v>30</v>
      </c>
      <c r="E215" s="6">
        <v>47.57</v>
      </c>
      <c r="F215" s="6">
        <v>0.176</v>
      </c>
      <c r="G215" s="6">
        <v>1043.6</v>
      </c>
    </row>
    <row r="216" spans="1:7">
      <c r="A216" s="3">
        <v>45838</v>
      </c>
      <c r="B216" s="4" t="s">
        <v>31</v>
      </c>
      <c r="C216" s="5" t="s">
        <v>32</v>
      </c>
      <c r="D216" s="4" t="s">
        <v>30</v>
      </c>
      <c r="E216" s="6">
        <v>51.21</v>
      </c>
      <c r="F216" s="6">
        <v>0.188</v>
      </c>
      <c r="G216" s="6">
        <v>1043.6</v>
      </c>
    </row>
    <row r="217" spans="1:7">
      <c r="A217" s="3">
        <v>45838</v>
      </c>
      <c r="B217" s="4" t="s">
        <v>33</v>
      </c>
      <c r="C217" s="5" t="s">
        <v>34</v>
      </c>
      <c r="D217" s="4" t="s">
        <v>35</v>
      </c>
      <c r="E217" s="6">
        <v>54.78</v>
      </c>
      <c r="F217" s="6">
        <v>0.2</v>
      </c>
      <c r="G217" s="6">
        <v>1043.6</v>
      </c>
    </row>
    <row r="218" spans="1:7">
      <c r="A218" s="3">
        <v>45838</v>
      </c>
      <c r="B218" s="4" t="s">
        <v>36</v>
      </c>
      <c r="C218" s="5" t="s">
        <v>37</v>
      </c>
      <c r="D218" s="4" t="s">
        <v>35</v>
      </c>
      <c r="E218" s="6">
        <v>58.92</v>
      </c>
      <c r="F218" s="6">
        <v>0.212</v>
      </c>
      <c r="G218" s="6">
        <v>1043.6</v>
      </c>
    </row>
    <row r="219" spans="1:7">
      <c r="A219" s="3">
        <v>45869</v>
      </c>
      <c r="B219" s="4" t="s">
        <v>8</v>
      </c>
      <c r="C219" s="5" t="s">
        <v>9</v>
      </c>
      <c r="D219" s="4" t="s">
        <v>10</v>
      </c>
      <c r="E219" s="6">
        <v>19.33</v>
      </c>
      <c r="F219" s="6">
        <v>0</v>
      </c>
      <c r="G219" s="6">
        <v>1078.58</v>
      </c>
    </row>
    <row r="220" spans="1:7">
      <c r="A220" s="3">
        <v>45869</v>
      </c>
      <c r="B220" s="4" t="s">
        <v>11</v>
      </c>
      <c r="C220" s="5" t="s">
        <v>12</v>
      </c>
      <c r="D220" s="4" t="s">
        <v>10</v>
      </c>
      <c r="E220" s="6">
        <v>23.75</v>
      </c>
      <c r="F220" s="6">
        <v>0</v>
      </c>
      <c r="G220" s="6">
        <v>1078.58</v>
      </c>
    </row>
    <row r="221" spans="1:7">
      <c r="A221" s="3">
        <v>45869</v>
      </c>
      <c r="B221" s="4" t="s">
        <v>13</v>
      </c>
      <c r="C221" s="5" t="s">
        <v>14</v>
      </c>
      <c r="D221" s="4" t="s">
        <v>15</v>
      </c>
      <c r="E221" s="6">
        <v>28.26</v>
      </c>
      <c r="F221" s="6">
        <v>0</v>
      </c>
      <c r="G221" s="6">
        <v>1078.58</v>
      </c>
    </row>
    <row r="222" spans="1:7">
      <c r="A222" s="3">
        <v>45869</v>
      </c>
      <c r="B222" s="4" t="s">
        <v>16</v>
      </c>
      <c r="C222" s="5" t="s">
        <v>17</v>
      </c>
      <c r="D222" s="4" t="s">
        <v>15</v>
      </c>
      <c r="E222" s="6">
        <v>33.13</v>
      </c>
      <c r="F222" s="6">
        <v>0</v>
      </c>
      <c r="G222" s="6">
        <v>1078.58</v>
      </c>
    </row>
    <row r="223" spans="1:7">
      <c r="A223" s="3">
        <v>45869</v>
      </c>
      <c r="B223" s="4" t="s">
        <v>18</v>
      </c>
      <c r="C223" s="5" t="s">
        <v>19</v>
      </c>
      <c r="D223" s="4" t="s">
        <v>20</v>
      </c>
      <c r="E223" s="6">
        <v>35.21</v>
      </c>
      <c r="F223" s="6">
        <v>0</v>
      </c>
      <c r="G223" s="6">
        <v>1078.58</v>
      </c>
    </row>
    <row r="224" spans="1:7">
      <c r="A224" s="3">
        <v>45869</v>
      </c>
      <c r="B224" s="4" t="s">
        <v>21</v>
      </c>
      <c r="C224" s="5" t="s">
        <v>22</v>
      </c>
      <c r="D224" s="4" t="s">
        <v>20</v>
      </c>
      <c r="E224" s="6">
        <v>40.61</v>
      </c>
      <c r="F224" s="6">
        <v>0</v>
      </c>
      <c r="G224" s="6">
        <v>1078.58</v>
      </c>
    </row>
    <row r="225" spans="1:7">
      <c r="A225" s="3">
        <v>45869</v>
      </c>
      <c r="B225" s="4" t="s">
        <v>23</v>
      </c>
      <c r="C225" s="5" t="s">
        <v>24</v>
      </c>
      <c r="D225" s="4" t="s">
        <v>25</v>
      </c>
      <c r="E225" s="6">
        <v>43.92</v>
      </c>
      <c r="F225" s="6">
        <v>0</v>
      </c>
      <c r="G225" s="6">
        <v>1078.58</v>
      </c>
    </row>
    <row r="226" spans="1:7">
      <c r="A226" s="3">
        <v>45869</v>
      </c>
      <c r="B226" s="4" t="s">
        <v>26</v>
      </c>
      <c r="C226" s="5" t="s">
        <v>27</v>
      </c>
      <c r="D226" s="4" t="s">
        <v>25</v>
      </c>
      <c r="E226" s="6">
        <v>49.47</v>
      </c>
      <c r="F226" s="6">
        <v>0</v>
      </c>
      <c r="G226" s="6">
        <v>1078.58</v>
      </c>
    </row>
    <row r="227" spans="1:7">
      <c r="A227" s="3">
        <v>45869</v>
      </c>
      <c r="B227" s="4" t="s">
        <v>28</v>
      </c>
      <c r="C227" s="5" t="s">
        <v>29</v>
      </c>
      <c r="D227" s="4" t="s">
        <v>30</v>
      </c>
      <c r="E227" s="6">
        <v>49.78</v>
      </c>
      <c r="F227" s="6">
        <v>0</v>
      </c>
      <c r="G227" s="6">
        <v>1078.58</v>
      </c>
    </row>
    <row r="228" spans="1:7">
      <c r="A228" s="3">
        <v>45869</v>
      </c>
      <c r="B228" s="4" t="s">
        <v>31</v>
      </c>
      <c r="C228" s="5" t="s">
        <v>32</v>
      </c>
      <c r="D228" s="4" t="s">
        <v>30</v>
      </c>
      <c r="E228" s="6">
        <v>53.85</v>
      </c>
      <c r="F228" s="6">
        <v>0</v>
      </c>
      <c r="G228" s="6">
        <v>1078.58</v>
      </c>
    </row>
    <row r="229" spans="1:7">
      <c r="A229" s="3">
        <v>45869</v>
      </c>
      <c r="B229" s="4" t="s">
        <v>33</v>
      </c>
      <c r="C229" s="5" t="s">
        <v>34</v>
      </c>
      <c r="D229" s="4" t="s">
        <v>35</v>
      </c>
      <c r="E229" s="6">
        <v>57.37</v>
      </c>
      <c r="F229" s="6">
        <v>0</v>
      </c>
      <c r="G229" s="6">
        <v>1078.58</v>
      </c>
    </row>
    <row r="230" spans="1:7">
      <c r="A230" s="3">
        <v>45869</v>
      </c>
      <c r="B230" s="4" t="s">
        <v>36</v>
      </c>
      <c r="C230" s="5" t="s">
        <v>37</v>
      </c>
      <c r="D230" s="4" t="s">
        <v>35</v>
      </c>
      <c r="E230" s="6">
        <v>61.25</v>
      </c>
      <c r="F230" s="6">
        <v>0</v>
      </c>
      <c r="G230" s="6">
        <v>1078.58</v>
      </c>
    </row>
    <row r="231" spans="1:7">
      <c r="A231" s="3">
        <v>45900</v>
      </c>
      <c r="B231" s="4" t="s">
        <v>8</v>
      </c>
      <c r="C231" s="5" t="s">
        <v>9</v>
      </c>
      <c r="D231" s="4" t="s">
        <v>10</v>
      </c>
      <c r="E231" s="6">
        <v>20.2</v>
      </c>
      <c r="F231" s="6">
        <v>0</v>
      </c>
      <c r="G231" s="6">
        <v>1102.02</v>
      </c>
    </row>
    <row r="232" spans="1:7">
      <c r="A232" s="3">
        <v>45900</v>
      </c>
      <c r="B232" s="4" t="s">
        <v>11</v>
      </c>
      <c r="C232" s="5" t="s">
        <v>12</v>
      </c>
      <c r="D232" s="4" t="s">
        <v>10</v>
      </c>
      <c r="E232" s="6">
        <v>24.41</v>
      </c>
      <c r="F232" s="6">
        <v>0</v>
      </c>
      <c r="G232" s="6">
        <v>1102.02</v>
      </c>
    </row>
    <row r="233" spans="1:7">
      <c r="A233" s="3">
        <v>45900</v>
      </c>
      <c r="B233" s="4" t="s">
        <v>13</v>
      </c>
      <c r="C233" s="5" t="s">
        <v>14</v>
      </c>
      <c r="D233" s="4" t="s">
        <v>15</v>
      </c>
      <c r="E233" s="6">
        <v>28.64</v>
      </c>
      <c r="F233" s="6">
        <v>0</v>
      </c>
      <c r="G233" s="6">
        <v>1102.02</v>
      </c>
    </row>
    <row r="234" spans="1:7">
      <c r="A234" s="3">
        <v>45900</v>
      </c>
      <c r="B234" s="4" t="s">
        <v>16</v>
      </c>
      <c r="C234" s="5" t="s">
        <v>17</v>
      </c>
      <c r="D234" s="4" t="s">
        <v>15</v>
      </c>
      <c r="E234" s="6">
        <v>33.88</v>
      </c>
      <c r="F234" s="6">
        <v>0</v>
      </c>
      <c r="G234" s="6">
        <v>1102.02</v>
      </c>
    </row>
    <row r="235" spans="1:7">
      <c r="A235" s="3">
        <v>45900</v>
      </c>
      <c r="B235" s="4" t="s">
        <v>18</v>
      </c>
      <c r="C235" s="5" t="s">
        <v>19</v>
      </c>
      <c r="D235" s="4" t="s">
        <v>20</v>
      </c>
      <c r="E235" s="6">
        <v>36.72</v>
      </c>
      <c r="F235" s="6">
        <v>0</v>
      </c>
      <c r="G235" s="6">
        <v>1102.02</v>
      </c>
    </row>
    <row r="236" spans="1:7">
      <c r="A236" s="3">
        <v>45900</v>
      </c>
      <c r="B236" s="4" t="s">
        <v>21</v>
      </c>
      <c r="C236" s="5" t="s">
        <v>22</v>
      </c>
      <c r="D236" s="4" t="s">
        <v>20</v>
      </c>
      <c r="E236" s="6">
        <v>42.86</v>
      </c>
      <c r="F236" s="6">
        <v>0</v>
      </c>
      <c r="G236" s="6">
        <v>1102.02</v>
      </c>
    </row>
    <row r="237" spans="1:7">
      <c r="A237" s="3">
        <v>45900</v>
      </c>
      <c r="B237" s="4" t="s">
        <v>23</v>
      </c>
      <c r="C237" s="5" t="s">
        <v>24</v>
      </c>
      <c r="D237" s="4" t="s">
        <v>25</v>
      </c>
      <c r="E237" s="6">
        <v>45</v>
      </c>
      <c r="F237" s="6">
        <v>0</v>
      </c>
      <c r="G237" s="6">
        <v>1102.02</v>
      </c>
    </row>
    <row r="238" spans="1:7">
      <c r="A238" s="3">
        <v>45900</v>
      </c>
      <c r="B238" s="4" t="s">
        <v>26</v>
      </c>
      <c r="C238" s="5" t="s">
        <v>27</v>
      </c>
      <c r="D238" s="4" t="s">
        <v>25</v>
      </c>
      <c r="E238" s="6">
        <v>49.39</v>
      </c>
      <c r="F238" s="6">
        <v>0</v>
      </c>
      <c r="G238" s="6">
        <v>1102.02</v>
      </c>
    </row>
    <row r="239" spans="1:7">
      <c r="A239" s="3">
        <v>45900</v>
      </c>
      <c r="B239" s="4" t="s">
        <v>28</v>
      </c>
      <c r="C239" s="5" t="s">
        <v>29</v>
      </c>
      <c r="D239" s="4" t="s">
        <v>30</v>
      </c>
      <c r="E239" s="6">
        <v>49.13</v>
      </c>
      <c r="F239" s="6">
        <v>0</v>
      </c>
      <c r="G239" s="6">
        <v>1102.02</v>
      </c>
    </row>
    <row r="240" spans="1:7">
      <c r="A240" s="3">
        <v>45900</v>
      </c>
      <c r="B240" s="4" t="s">
        <v>31</v>
      </c>
      <c r="C240" s="5" t="s">
        <v>32</v>
      </c>
      <c r="D240" s="4" t="s">
        <v>30</v>
      </c>
      <c r="E240" s="6">
        <v>54.45</v>
      </c>
      <c r="F240" s="6">
        <v>0</v>
      </c>
      <c r="G240" s="6">
        <v>1102.02</v>
      </c>
    </row>
    <row r="241" spans="1:7">
      <c r="A241" s="3">
        <v>45900</v>
      </c>
      <c r="B241" s="4" t="s">
        <v>33</v>
      </c>
      <c r="C241" s="5" t="s">
        <v>34</v>
      </c>
      <c r="D241" s="4" t="s">
        <v>35</v>
      </c>
      <c r="E241" s="6">
        <v>59.99</v>
      </c>
      <c r="F241" s="6">
        <v>0</v>
      </c>
      <c r="G241" s="6">
        <v>1102.02</v>
      </c>
    </row>
    <row r="242" spans="1:7">
      <c r="A242" s="3">
        <v>45900</v>
      </c>
      <c r="B242" s="4" t="s">
        <v>36</v>
      </c>
      <c r="C242" s="5" t="s">
        <v>37</v>
      </c>
      <c r="D242" s="4" t="s">
        <v>35</v>
      </c>
      <c r="E242" s="6">
        <v>64.95999999999999</v>
      </c>
      <c r="F242" s="6">
        <v>0</v>
      </c>
      <c r="G242" s="6">
        <v>1102.02</v>
      </c>
    </row>
    <row r="243" spans="1:7">
      <c r="A243" s="3">
        <v>45930</v>
      </c>
      <c r="B243" s="4" t="s">
        <v>8</v>
      </c>
      <c r="C243" s="5" t="s">
        <v>9</v>
      </c>
      <c r="D243" s="4" t="s">
        <v>10</v>
      </c>
      <c r="E243" s="6">
        <v>21.27</v>
      </c>
      <c r="F243" s="6">
        <v>0</v>
      </c>
      <c r="G243" s="6">
        <v>1156.1</v>
      </c>
    </row>
    <row r="244" spans="1:7">
      <c r="A244" s="3">
        <v>45930</v>
      </c>
      <c r="B244" s="4" t="s">
        <v>11</v>
      </c>
      <c r="C244" s="5" t="s">
        <v>12</v>
      </c>
      <c r="D244" s="4" t="s">
        <v>10</v>
      </c>
      <c r="E244" s="6">
        <v>25.21</v>
      </c>
      <c r="F244" s="6">
        <v>0</v>
      </c>
      <c r="G244" s="6">
        <v>1156.1</v>
      </c>
    </row>
    <row r="245" spans="1:7">
      <c r="A245" s="3">
        <v>45930</v>
      </c>
      <c r="B245" s="4" t="s">
        <v>13</v>
      </c>
      <c r="C245" s="5" t="s">
        <v>14</v>
      </c>
      <c r="D245" s="4" t="s">
        <v>15</v>
      </c>
      <c r="E245" s="6">
        <v>30.16</v>
      </c>
      <c r="F245" s="6">
        <v>0</v>
      </c>
      <c r="G245" s="6">
        <v>1156.1</v>
      </c>
    </row>
    <row r="246" spans="1:7">
      <c r="A246" s="3">
        <v>45930</v>
      </c>
      <c r="B246" s="4" t="s">
        <v>16</v>
      </c>
      <c r="C246" s="5" t="s">
        <v>17</v>
      </c>
      <c r="D246" s="4" t="s">
        <v>15</v>
      </c>
      <c r="E246" s="6">
        <v>36.8</v>
      </c>
      <c r="F246" s="6">
        <v>0</v>
      </c>
      <c r="G246" s="6">
        <v>1156.1</v>
      </c>
    </row>
    <row r="247" spans="1:7">
      <c r="A247" s="3">
        <v>45930</v>
      </c>
      <c r="B247" s="4" t="s">
        <v>18</v>
      </c>
      <c r="C247" s="5" t="s">
        <v>19</v>
      </c>
      <c r="D247" s="4" t="s">
        <v>20</v>
      </c>
      <c r="E247" s="6">
        <v>39.34</v>
      </c>
      <c r="F247" s="6">
        <v>0</v>
      </c>
      <c r="G247" s="6">
        <v>1156.1</v>
      </c>
    </row>
    <row r="248" spans="1:7">
      <c r="A248" s="3">
        <v>45930</v>
      </c>
      <c r="B248" s="4" t="s">
        <v>21</v>
      </c>
      <c r="C248" s="5" t="s">
        <v>22</v>
      </c>
      <c r="D248" s="4" t="s">
        <v>20</v>
      </c>
      <c r="E248" s="6">
        <v>44.57</v>
      </c>
      <c r="F248" s="6">
        <v>0</v>
      </c>
      <c r="G248" s="6">
        <v>1156.1</v>
      </c>
    </row>
    <row r="249" spans="1:7">
      <c r="A249" s="3">
        <v>45930</v>
      </c>
      <c r="B249" s="4" t="s">
        <v>23</v>
      </c>
      <c r="C249" s="5" t="s">
        <v>24</v>
      </c>
      <c r="D249" s="4" t="s">
        <v>25</v>
      </c>
      <c r="E249" s="6">
        <v>45.6</v>
      </c>
      <c r="F249" s="6">
        <v>0</v>
      </c>
      <c r="G249" s="6">
        <v>1156.1</v>
      </c>
    </row>
    <row r="250" spans="1:7">
      <c r="A250" s="3">
        <v>45930</v>
      </c>
      <c r="B250" s="4" t="s">
        <v>26</v>
      </c>
      <c r="C250" s="5" t="s">
        <v>27</v>
      </c>
      <c r="D250" s="4" t="s">
        <v>25</v>
      </c>
      <c r="E250" s="6">
        <v>52.04</v>
      </c>
      <c r="F250" s="6">
        <v>0</v>
      </c>
      <c r="G250" s="6">
        <v>1156.1</v>
      </c>
    </row>
    <row r="251" spans="1:7">
      <c r="A251" s="3">
        <v>45930</v>
      </c>
      <c r="B251" s="4" t="s">
        <v>28</v>
      </c>
      <c r="C251" s="5" t="s">
        <v>29</v>
      </c>
      <c r="D251" s="4" t="s">
        <v>30</v>
      </c>
      <c r="E251" s="6">
        <v>52.04</v>
      </c>
      <c r="F251" s="6">
        <v>0</v>
      </c>
      <c r="G251" s="6">
        <v>1156.1</v>
      </c>
    </row>
    <row r="252" spans="1:7">
      <c r="A252" s="3">
        <v>45930</v>
      </c>
      <c r="B252" s="4" t="s">
        <v>31</v>
      </c>
      <c r="C252" s="5" t="s">
        <v>32</v>
      </c>
      <c r="D252" s="4" t="s">
        <v>30</v>
      </c>
      <c r="E252" s="6">
        <v>56.51</v>
      </c>
      <c r="F252" s="6">
        <v>0</v>
      </c>
      <c r="G252" s="6">
        <v>1156.1</v>
      </c>
    </row>
    <row r="253" spans="1:7">
      <c r="A253" s="3">
        <v>45930</v>
      </c>
      <c r="B253" s="4" t="s">
        <v>33</v>
      </c>
      <c r="C253" s="5" t="s">
        <v>34</v>
      </c>
      <c r="D253" s="4" t="s">
        <v>35</v>
      </c>
      <c r="E253" s="6">
        <v>62.7</v>
      </c>
      <c r="F253" s="6">
        <v>0</v>
      </c>
      <c r="G253" s="6">
        <v>1156.1</v>
      </c>
    </row>
    <row r="254" spans="1:7">
      <c r="A254" s="3">
        <v>45930</v>
      </c>
      <c r="B254" s="4" t="s">
        <v>36</v>
      </c>
      <c r="C254" s="5" t="s">
        <v>37</v>
      </c>
      <c r="D254" s="4" t="s">
        <v>35</v>
      </c>
      <c r="E254" s="6">
        <v>70.84</v>
      </c>
      <c r="F254" s="6">
        <v>0</v>
      </c>
      <c r="G254" s="6">
        <v>1156.1</v>
      </c>
    </row>
    <row r="255" spans="1:7">
      <c r="A255" s="3">
        <v>45961</v>
      </c>
      <c r="B255" s="4" t="s">
        <v>8</v>
      </c>
      <c r="C255" s="5" t="s">
        <v>9</v>
      </c>
      <c r="D255" s="4" t="s">
        <v>10</v>
      </c>
      <c r="E255" s="6">
        <v>21.16</v>
      </c>
      <c r="F255" s="6">
        <v>0</v>
      </c>
      <c r="G255" s="6">
        <v>1146.32</v>
      </c>
    </row>
    <row r="256" spans="1:7">
      <c r="A256" s="3">
        <v>45961</v>
      </c>
      <c r="B256" s="4" t="s">
        <v>11</v>
      </c>
      <c r="C256" s="5" t="s">
        <v>12</v>
      </c>
      <c r="D256" s="4" t="s">
        <v>10</v>
      </c>
      <c r="E256" s="6">
        <v>24.95</v>
      </c>
      <c r="F256" s="6">
        <v>0</v>
      </c>
      <c r="G256" s="6">
        <v>1146.32</v>
      </c>
    </row>
    <row r="257" spans="1:7">
      <c r="A257" s="3">
        <v>45961</v>
      </c>
      <c r="B257" s="4" t="s">
        <v>13</v>
      </c>
      <c r="C257" s="5" t="s">
        <v>14</v>
      </c>
      <c r="D257" s="4" t="s">
        <v>15</v>
      </c>
      <c r="E257" s="6">
        <v>30.88</v>
      </c>
      <c r="F257" s="6">
        <v>0</v>
      </c>
      <c r="G257" s="6">
        <v>1146.32</v>
      </c>
    </row>
    <row r="258" spans="1:7">
      <c r="A258" s="3">
        <v>45961</v>
      </c>
      <c r="B258" s="4" t="s">
        <v>16</v>
      </c>
      <c r="C258" s="5" t="s">
        <v>17</v>
      </c>
      <c r="D258" s="4" t="s">
        <v>15</v>
      </c>
      <c r="E258" s="6">
        <v>36.74</v>
      </c>
      <c r="F258" s="6">
        <v>0</v>
      </c>
      <c r="G258" s="6">
        <v>1146.32</v>
      </c>
    </row>
    <row r="259" spans="1:7">
      <c r="A259" s="3">
        <v>45961</v>
      </c>
      <c r="B259" s="4" t="s">
        <v>18</v>
      </c>
      <c r="C259" s="5" t="s">
        <v>19</v>
      </c>
      <c r="D259" s="4" t="s">
        <v>20</v>
      </c>
      <c r="E259" s="6">
        <v>37.76</v>
      </c>
      <c r="F259" s="6">
        <v>0</v>
      </c>
      <c r="G259" s="6">
        <v>1146.32</v>
      </c>
    </row>
    <row r="260" spans="1:7">
      <c r="A260" s="3">
        <v>45961</v>
      </c>
      <c r="B260" s="4" t="s">
        <v>21</v>
      </c>
      <c r="C260" s="5" t="s">
        <v>22</v>
      </c>
      <c r="D260" s="4" t="s">
        <v>20</v>
      </c>
      <c r="E260" s="6">
        <v>44.2</v>
      </c>
      <c r="F260" s="6">
        <v>0</v>
      </c>
      <c r="G260" s="6">
        <v>1146.32</v>
      </c>
    </row>
    <row r="261" spans="1:7">
      <c r="A261" s="3">
        <v>45961</v>
      </c>
      <c r="B261" s="4" t="s">
        <v>23</v>
      </c>
      <c r="C261" s="5" t="s">
        <v>24</v>
      </c>
      <c r="D261" s="4" t="s">
        <v>25</v>
      </c>
      <c r="E261" s="6">
        <v>45.87</v>
      </c>
      <c r="F261" s="6">
        <v>0</v>
      </c>
      <c r="G261" s="6">
        <v>1146.32</v>
      </c>
    </row>
    <row r="262" spans="1:7">
      <c r="A262" s="3">
        <v>45961</v>
      </c>
      <c r="B262" s="4" t="s">
        <v>26</v>
      </c>
      <c r="C262" s="5" t="s">
        <v>27</v>
      </c>
      <c r="D262" s="4" t="s">
        <v>25</v>
      </c>
      <c r="E262" s="6">
        <v>50.42</v>
      </c>
      <c r="F262" s="6">
        <v>0</v>
      </c>
      <c r="G262" s="6">
        <v>1146.32</v>
      </c>
    </row>
    <row r="263" spans="1:7">
      <c r="A263" s="3">
        <v>45961</v>
      </c>
      <c r="B263" s="4" t="s">
        <v>28</v>
      </c>
      <c r="C263" s="5" t="s">
        <v>29</v>
      </c>
      <c r="D263" s="4" t="s">
        <v>30</v>
      </c>
      <c r="E263" s="6">
        <v>51.19</v>
      </c>
      <c r="F263" s="6">
        <v>0</v>
      </c>
      <c r="G263" s="6">
        <v>1146.32</v>
      </c>
    </row>
    <row r="264" spans="1:7">
      <c r="A264" s="3">
        <v>45961</v>
      </c>
      <c r="B264" s="4" t="s">
        <v>31</v>
      </c>
      <c r="C264" s="5" t="s">
        <v>32</v>
      </c>
      <c r="D264" s="4" t="s">
        <v>30</v>
      </c>
      <c r="E264" s="6">
        <v>57.76</v>
      </c>
      <c r="F264" s="6">
        <v>0</v>
      </c>
      <c r="G264" s="6">
        <v>1146.32</v>
      </c>
    </row>
    <row r="265" spans="1:7">
      <c r="A265" s="3">
        <v>45961</v>
      </c>
      <c r="B265" s="4" t="s">
        <v>33</v>
      </c>
      <c r="C265" s="5" t="s">
        <v>34</v>
      </c>
      <c r="D265" s="4" t="s">
        <v>35</v>
      </c>
      <c r="E265" s="6">
        <v>62.43</v>
      </c>
      <c r="F265" s="6">
        <v>0</v>
      </c>
      <c r="G265" s="6">
        <v>1146.32</v>
      </c>
    </row>
    <row r="266" spans="1:7">
      <c r="A266" s="3">
        <v>45961</v>
      </c>
      <c r="B266" s="4" t="s">
        <v>36</v>
      </c>
      <c r="C266" s="5" t="s">
        <v>37</v>
      </c>
      <c r="D266" s="4" t="s">
        <v>35</v>
      </c>
      <c r="E266" s="6">
        <v>69.81</v>
      </c>
      <c r="F266" s="6">
        <v>0</v>
      </c>
      <c r="G266" s="6">
        <v>1146.32</v>
      </c>
    </row>
    <row r="267" spans="1:7">
      <c r="A267" s="3">
        <v>45991</v>
      </c>
      <c r="B267" s="4" t="s">
        <v>8</v>
      </c>
      <c r="C267" s="5" t="s">
        <v>9</v>
      </c>
      <c r="D267" s="4" t="s">
        <v>10</v>
      </c>
      <c r="E267" s="6">
        <v>20.77</v>
      </c>
      <c r="F267" s="6">
        <v>0</v>
      </c>
      <c r="G267" s="6">
        <v>1136.62</v>
      </c>
    </row>
    <row r="268" spans="1:7">
      <c r="A268" s="3">
        <v>45991</v>
      </c>
      <c r="B268" s="4" t="s">
        <v>11</v>
      </c>
      <c r="C268" s="5" t="s">
        <v>12</v>
      </c>
      <c r="D268" s="4" t="s">
        <v>10</v>
      </c>
      <c r="E268" s="6">
        <v>25.21</v>
      </c>
      <c r="F268" s="6">
        <v>0</v>
      </c>
      <c r="G268" s="6">
        <v>1136.62</v>
      </c>
    </row>
    <row r="269" spans="1:7">
      <c r="A269" s="3">
        <v>45991</v>
      </c>
      <c r="B269" s="4" t="s">
        <v>13</v>
      </c>
      <c r="C269" s="5" t="s">
        <v>14</v>
      </c>
      <c r="D269" s="4" t="s">
        <v>15</v>
      </c>
      <c r="E269" s="6">
        <v>31.1</v>
      </c>
      <c r="F269" s="6">
        <v>0</v>
      </c>
      <c r="G269" s="6">
        <v>1136.62</v>
      </c>
    </row>
    <row r="270" spans="1:7">
      <c r="A270" s="3">
        <v>45991</v>
      </c>
      <c r="B270" s="4" t="s">
        <v>16</v>
      </c>
      <c r="C270" s="5" t="s">
        <v>17</v>
      </c>
      <c r="D270" s="4" t="s">
        <v>15</v>
      </c>
      <c r="E270" s="6">
        <v>35.43</v>
      </c>
      <c r="F270" s="6">
        <v>0</v>
      </c>
      <c r="G270" s="6">
        <v>1136.62</v>
      </c>
    </row>
    <row r="271" spans="1:7">
      <c r="A271" s="3">
        <v>45991</v>
      </c>
      <c r="B271" s="4" t="s">
        <v>18</v>
      </c>
      <c r="C271" s="5" t="s">
        <v>19</v>
      </c>
      <c r="D271" s="4" t="s">
        <v>20</v>
      </c>
      <c r="E271" s="6">
        <v>37.72</v>
      </c>
      <c r="F271" s="6">
        <v>0</v>
      </c>
      <c r="G271" s="6">
        <v>1136.62</v>
      </c>
    </row>
    <row r="272" spans="1:7">
      <c r="A272" s="3">
        <v>45991</v>
      </c>
      <c r="B272" s="4" t="s">
        <v>21</v>
      </c>
      <c r="C272" s="5" t="s">
        <v>22</v>
      </c>
      <c r="D272" s="4" t="s">
        <v>20</v>
      </c>
      <c r="E272" s="6">
        <v>43.48</v>
      </c>
      <c r="F272" s="6">
        <v>0</v>
      </c>
      <c r="G272" s="6">
        <v>1136.62</v>
      </c>
    </row>
    <row r="273" spans="1:7">
      <c r="A273" s="3">
        <v>45991</v>
      </c>
      <c r="B273" s="4" t="s">
        <v>23</v>
      </c>
      <c r="C273" s="5" t="s">
        <v>24</v>
      </c>
      <c r="D273" s="4" t="s">
        <v>25</v>
      </c>
      <c r="E273" s="6">
        <v>44.42</v>
      </c>
      <c r="F273" s="6">
        <v>0</v>
      </c>
      <c r="G273" s="6">
        <v>1136.62</v>
      </c>
    </row>
    <row r="274" spans="1:7">
      <c r="A274" s="3">
        <v>45991</v>
      </c>
      <c r="B274" s="4" t="s">
        <v>26</v>
      </c>
      <c r="C274" s="5" t="s">
        <v>27</v>
      </c>
      <c r="D274" s="4" t="s">
        <v>25</v>
      </c>
      <c r="E274" s="6">
        <v>51.35</v>
      </c>
      <c r="F274" s="6">
        <v>0</v>
      </c>
      <c r="G274" s="6">
        <v>1136.62</v>
      </c>
    </row>
    <row r="275" spans="1:7">
      <c r="A275" s="3">
        <v>45991</v>
      </c>
      <c r="B275" s="4" t="s">
        <v>28</v>
      </c>
      <c r="C275" s="5" t="s">
        <v>29</v>
      </c>
      <c r="D275" s="4" t="s">
        <v>30</v>
      </c>
      <c r="E275" s="6">
        <v>50.68</v>
      </c>
      <c r="F275" s="6">
        <v>0</v>
      </c>
      <c r="G275" s="6">
        <v>1136.62</v>
      </c>
    </row>
    <row r="276" spans="1:7">
      <c r="A276" s="3">
        <v>45991</v>
      </c>
      <c r="B276" s="4" t="s">
        <v>31</v>
      </c>
      <c r="C276" s="5" t="s">
        <v>32</v>
      </c>
      <c r="D276" s="4" t="s">
        <v>30</v>
      </c>
      <c r="E276" s="6">
        <v>57.05</v>
      </c>
      <c r="F276" s="6">
        <v>0</v>
      </c>
      <c r="G276" s="6">
        <v>1136.62</v>
      </c>
    </row>
    <row r="277" spans="1:7">
      <c r="A277" s="3">
        <v>45991</v>
      </c>
      <c r="B277" s="4" t="s">
        <v>33</v>
      </c>
      <c r="C277" s="5" t="s">
        <v>34</v>
      </c>
      <c r="D277" s="4" t="s">
        <v>35</v>
      </c>
      <c r="E277" s="6">
        <v>64.38</v>
      </c>
      <c r="F277" s="6">
        <v>0</v>
      </c>
      <c r="G277" s="6">
        <v>1136.62</v>
      </c>
    </row>
    <row r="278" spans="1:7">
      <c r="A278" s="3">
        <v>45991</v>
      </c>
      <c r="B278" s="4" t="s">
        <v>36</v>
      </c>
      <c r="C278" s="5" t="s">
        <v>37</v>
      </c>
      <c r="D278" s="4" t="s">
        <v>35</v>
      </c>
      <c r="E278" s="6">
        <v>69.18000000000001</v>
      </c>
      <c r="F278" s="6">
        <v>0</v>
      </c>
      <c r="G278" s="6">
        <v>1136.62</v>
      </c>
    </row>
    <row r="279" spans="1:7">
      <c r="A279" s="3">
        <v>46022</v>
      </c>
      <c r="B279" s="4" t="s">
        <v>8</v>
      </c>
      <c r="C279" s="5" t="s">
        <v>9</v>
      </c>
      <c r="D279" s="4" t="s">
        <v>10</v>
      </c>
      <c r="E279" s="6">
        <v>20.5</v>
      </c>
      <c r="F279" s="6">
        <v>0</v>
      </c>
      <c r="G279" s="6">
        <v>1140.83</v>
      </c>
    </row>
    <row r="280" spans="1:7">
      <c r="A280" s="3">
        <v>46022</v>
      </c>
      <c r="B280" s="4" t="s">
        <v>11</v>
      </c>
      <c r="C280" s="5" t="s">
        <v>12</v>
      </c>
      <c r="D280" s="4" t="s">
        <v>10</v>
      </c>
      <c r="E280" s="6">
        <v>25.96</v>
      </c>
      <c r="F280" s="6">
        <v>0</v>
      </c>
      <c r="G280" s="6">
        <v>1140.83</v>
      </c>
    </row>
    <row r="281" spans="1:7">
      <c r="A281" s="3">
        <v>46022</v>
      </c>
      <c r="B281" s="4" t="s">
        <v>13</v>
      </c>
      <c r="C281" s="5" t="s">
        <v>14</v>
      </c>
      <c r="D281" s="4" t="s">
        <v>15</v>
      </c>
      <c r="E281" s="6">
        <v>30.48</v>
      </c>
      <c r="F281" s="6">
        <v>0</v>
      </c>
      <c r="G281" s="6">
        <v>1140.83</v>
      </c>
    </row>
    <row r="282" spans="1:7">
      <c r="A282" s="3">
        <v>46022</v>
      </c>
      <c r="B282" s="4" t="s">
        <v>16</v>
      </c>
      <c r="C282" s="5" t="s">
        <v>17</v>
      </c>
      <c r="D282" s="4" t="s">
        <v>15</v>
      </c>
      <c r="E282" s="6">
        <v>35.75</v>
      </c>
      <c r="F282" s="6">
        <v>0</v>
      </c>
      <c r="G282" s="6">
        <v>1140.83</v>
      </c>
    </row>
    <row r="283" spans="1:7">
      <c r="A283" s="3">
        <v>46022</v>
      </c>
      <c r="B283" s="4" t="s">
        <v>18</v>
      </c>
      <c r="C283" s="5" t="s">
        <v>19</v>
      </c>
      <c r="D283" s="4" t="s">
        <v>20</v>
      </c>
      <c r="E283" s="6">
        <v>37.66</v>
      </c>
      <c r="F283" s="6">
        <v>0</v>
      </c>
      <c r="G283" s="6">
        <v>1140.83</v>
      </c>
    </row>
    <row r="284" spans="1:7">
      <c r="A284" s="3">
        <v>46022</v>
      </c>
      <c r="B284" s="4" t="s">
        <v>21</v>
      </c>
      <c r="C284" s="5" t="s">
        <v>22</v>
      </c>
      <c r="D284" s="4" t="s">
        <v>20</v>
      </c>
      <c r="E284" s="6">
        <v>42.79</v>
      </c>
      <c r="F284" s="6">
        <v>0</v>
      </c>
      <c r="G284" s="6">
        <v>1140.83</v>
      </c>
    </row>
    <row r="285" spans="1:7">
      <c r="A285" s="3">
        <v>46022</v>
      </c>
      <c r="B285" s="4" t="s">
        <v>23</v>
      </c>
      <c r="C285" s="5" t="s">
        <v>24</v>
      </c>
      <c r="D285" s="4" t="s">
        <v>25</v>
      </c>
      <c r="E285" s="6">
        <v>45.63</v>
      </c>
      <c r="F285" s="6">
        <v>0</v>
      </c>
      <c r="G285" s="6">
        <v>1140.83</v>
      </c>
    </row>
    <row r="286" spans="1:7">
      <c r="A286" s="3">
        <v>46022</v>
      </c>
      <c r="B286" s="4" t="s">
        <v>26</v>
      </c>
      <c r="C286" s="5" t="s">
        <v>27</v>
      </c>
      <c r="D286" s="4" t="s">
        <v>25</v>
      </c>
      <c r="E286" s="6">
        <v>50.69</v>
      </c>
      <c r="F286" s="6">
        <v>0</v>
      </c>
      <c r="G286" s="6">
        <v>1140.83</v>
      </c>
    </row>
    <row r="287" spans="1:7">
      <c r="A287" s="3">
        <v>46022</v>
      </c>
      <c r="B287" s="4" t="s">
        <v>28</v>
      </c>
      <c r="C287" s="5" t="s">
        <v>29</v>
      </c>
      <c r="D287" s="4" t="s">
        <v>30</v>
      </c>
      <c r="E287" s="6">
        <v>52.34</v>
      </c>
      <c r="F287" s="6">
        <v>0</v>
      </c>
      <c r="G287" s="6">
        <v>1140.83</v>
      </c>
    </row>
    <row r="288" spans="1:7">
      <c r="A288" s="3">
        <v>46022</v>
      </c>
      <c r="B288" s="4" t="s">
        <v>31</v>
      </c>
      <c r="C288" s="5" t="s">
        <v>32</v>
      </c>
      <c r="D288" s="4" t="s">
        <v>30</v>
      </c>
      <c r="E288" s="6">
        <v>57.74</v>
      </c>
      <c r="F288" s="6">
        <v>0</v>
      </c>
      <c r="G288" s="6">
        <v>1140.83</v>
      </c>
    </row>
    <row r="289" spans="1:7">
      <c r="A289" s="3">
        <v>46022</v>
      </c>
      <c r="B289" s="4" t="s">
        <v>33</v>
      </c>
      <c r="C289" s="5" t="s">
        <v>34</v>
      </c>
      <c r="D289" s="4" t="s">
        <v>35</v>
      </c>
      <c r="E289" s="6">
        <v>65.33</v>
      </c>
      <c r="F289" s="6">
        <v>0</v>
      </c>
      <c r="G289" s="6">
        <v>1140.83</v>
      </c>
    </row>
    <row r="290" spans="1:7">
      <c r="A290" s="3">
        <v>46022</v>
      </c>
      <c r="B290" s="4" t="s">
        <v>36</v>
      </c>
      <c r="C290" s="5" t="s">
        <v>37</v>
      </c>
      <c r="D290" s="4" t="s">
        <v>35</v>
      </c>
      <c r="E290" s="6">
        <v>71.78</v>
      </c>
      <c r="F290" s="6">
        <v>0</v>
      </c>
      <c r="G290" s="6">
        <v>1140.83</v>
      </c>
    </row>
  </sheetData>
  <autoFilter ref="A2:G290"/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"/>
  <sheetViews>
    <sheetView showGridLines="0" zoomScale="90" zoomScaleNormal="90" workbookViewId="0">
      <pane ySplit="2" topLeftCell="A3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8.7109375" customWidth="1"/>
    <col min="4" max="7" width="13.7109375" customWidth="1"/>
  </cols>
  <sheetData>
    <row r="1" spans="1:5">
      <c r="A1" s="1" t="s">
        <v>38</v>
      </c>
      <c r="B1" s="1"/>
      <c r="C1" s="1"/>
      <c r="D1" s="1"/>
      <c r="E1" s="1"/>
    </row>
    <row r="2" spans="1:5">
      <c r="A2" s="2" t="s">
        <v>39</v>
      </c>
      <c r="B2" s="2" t="s">
        <v>40</v>
      </c>
      <c r="C2" s="2" t="s">
        <v>41</v>
      </c>
      <c r="D2" s="7" t="s">
        <v>54</v>
      </c>
      <c r="E2" s="7"/>
    </row>
    <row r="3" spans="1:5">
      <c r="A3" s="8" t="s">
        <v>42</v>
      </c>
      <c r="B3" s="9">
        <v>10000000</v>
      </c>
      <c r="C3" s="5" t="s">
        <v>43</v>
      </c>
      <c r="D3" s="2" t="s">
        <v>2</v>
      </c>
      <c r="E3" s="2" t="s">
        <v>55</v>
      </c>
    </row>
    <row r="4" spans="1:5">
      <c r="A4" s="8" t="s">
        <v>44</v>
      </c>
      <c r="B4" s="10">
        <v>0.022</v>
      </c>
      <c r="C4" s="5" t="s">
        <v>45</v>
      </c>
      <c r="D4" s="4" t="s">
        <v>8</v>
      </c>
      <c r="E4" s="10">
        <v>0.1</v>
      </c>
    </row>
    <row r="5" spans="1:5">
      <c r="A5" s="8" t="s">
        <v>46</v>
      </c>
      <c r="B5" s="10">
        <v>0.15</v>
      </c>
      <c r="C5" s="5" t="s">
        <v>47</v>
      </c>
      <c r="D5" s="4" t="s">
        <v>11</v>
      </c>
      <c r="E5" s="10">
        <v>0.09</v>
      </c>
    </row>
    <row r="6" spans="1:5">
      <c r="A6" s="8" t="s">
        <v>48</v>
      </c>
      <c r="B6" s="6">
        <v>0.35</v>
      </c>
      <c r="C6" s="5" t="s">
        <v>49</v>
      </c>
      <c r="D6" s="4" t="s">
        <v>13</v>
      </c>
      <c r="E6" s="10">
        <v>0.1</v>
      </c>
    </row>
    <row r="7" spans="1:5">
      <c r="A7" s="8" t="s">
        <v>50</v>
      </c>
      <c r="B7" s="6">
        <v>1.645</v>
      </c>
      <c r="C7" s="5" t="s">
        <v>51</v>
      </c>
      <c r="D7" s="4" t="s">
        <v>16</v>
      </c>
      <c r="E7" s="10">
        <v>0.08</v>
      </c>
    </row>
    <row r="8" spans="1:5">
      <c r="A8" s="8" t="s">
        <v>52</v>
      </c>
      <c r="B8" s="6">
        <v>12</v>
      </c>
      <c r="C8" s="5" t="s">
        <v>53</v>
      </c>
      <c r="D8" s="4" t="s">
        <v>18</v>
      </c>
      <c r="E8" s="10">
        <v>0.09</v>
      </c>
    </row>
    <row r="9" spans="1:5">
      <c r="D9" s="4" t="s">
        <v>21</v>
      </c>
      <c r="E9" s="10">
        <v>0.07000000000000001</v>
      </c>
    </row>
    <row r="10" spans="1:5">
      <c r="D10" s="4" t="s">
        <v>23</v>
      </c>
      <c r="E10" s="10">
        <v>0.09</v>
      </c>
    </row>
    <row r="11" spans="1:5">
      <c r="D11" s="4" t="s">
        <v>26</v>
      </c>
      <c r="E11" s="10">
        <v>0.08</v>
      </c>
    </row>
    <row r="12" spans="1:5">
      <c r="D12" s="4" t="s">
        <v>28</v>
      </c>
      <c r="E12" s="10">
        <v>0.08</v>
      </c>
    </row>
    <row r="13" spans="1:5">
      <c r="D13" s="4" t="s">
        <v>31</v>
      </c>
      <c r="E13" s="10">
        <v>0.07000000000000001</v>
      </c>
    </row>
    <row r="14" spans="1:5">
      <c r="D14" s="4" t="s">
        <v>33</v>
      </c>
      <c r="E14" s="10">
        <v>0.08</v>
      </c>
    </row>
    <row r="15" spans="1:5">
      <c r="D15" s="4" t="s">
        <v>36</v>
      </c>
      <c r="E15" s="10">
        <v>0.07000000000000001</v>
      </c>
    </row>
    <row r="16" spans="1:5">
      <c r="D16" s="8" t="s">
        <v>56</v>
      </c>
      <c r="E16" s="11">
        <f>SUM(E4:E15)</f>
        <v>1.0</v>
      </c>
    </row>
    <row r="20" spans="1:7">
      <c r="A20" s="7" t="s">
        <v>57</v>
      </c>
      <c r="B20" s="7"/>
      <c r="C20" s="7"/>
      <c r="D20" s="7"/>
      <c r="E20" s="7"/>
      <c r="F20" s="7"/>
      <c r="G20" s="7"/>
    </row>
    <row r="21" spans="1:7">
      <c r="A21" s="2" t="s">
        <v>4</v>
      </c>
      <c r="B21" s="2" t="s">
        <v>58</v>
      </c>
      <c r="C21" s="2" t="s">
        <v>59</v>
      </c>
      <c r="D21" s="2" t="s">
        <v>60</v>
      </c>
    </row>
    <row r="22" spans="1:7">
      <c r="A22" s="4" t="s">
        <v>10</v>
      </c>
      <c r="B22" s="10">
        <v>-0.08</v>
      </c>
      <c r="C22" s="10">
        <v>-0.18</v>
      </c>
      <c r="D22" s="10">
        <v>0.16</v>
      </c>
    </row>
    <row r="23" spans="1:7">
      <c r="A23" s="4" t="s">
        <v>15</v>
      </c>
      <c r="B23" s="10">
        <v>-0.05</v>
      </c>
      <c r="C23" s="10">
        <v>-0.22</v>
      </c>
      <c r="D23" s="10">
        <v>0.07000000000000001</v>
      </c>
    </row>
    <row r="24" spans="1:7">
      <c r="A24" s="4" t="s">
        <v>20</v>
      </c>
      <c r="B24" s="10">
        <v>-0.03</v>
      </c>
      <c r="C24" s="10">
        <v>-0.1</v>
      </c>
      <c r="D24" s="10">
        <v>0.09</v>
      </c>
    </row>
    <row r="25" spans="1:7">
      <c r="A25" s="4" t="s">
        <v>25</v>
      </c>
      <c r="B25" s="10">
        <v>-0.04</v>
      </c>
      <c r="C25" s="10">
        <v>-0.14</v>
      </c>
      <c r="D25" s="10">
        <v>0.11</v>
      </c>
    </row>
    <row r="26" spans="1:7">
      <c r="A26" s="4" t="s">
        <v>30</v>
      </c>
      <c r="B26" s="10">
        <v>-0.06</v>
      </c>
      <c r="C26" s="10">
        <v>-0.17</v>
      </c>
      <c r="D26" s="10">
        <v>0.05</v>
      </c>
    </row>
    <row r="27" spans="1:7">
      <c r="A27" s="4" t="s">
        <v>35</v>
      </c>
      <c r="B27" s="10">
        <v>-0.05</v>
      </c>
      <c r="C27" s="10">
        <v>-0.19</v>
      </c>
      <c r="D27" s="10">
        <v>0.1</v>
      </c>
    </row>
  </sheetData>
  <mergeCells count="3">
    <mergeCell ref="A1:E1"/>
    <mergeCell ref="D2:E2"/>
    <mergeCell ref="A20:G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8"/>
  <sheetViews>
    <sheetView showGridLines="0" zoomScale="80" zoomScaleNormal="80" workbookViewId="0">
      <pane ySplit="5" topLeftCell="A6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9.7109375" customWidth="1"/>
    <col min="4" max="16" width="14.7109375" customWidth="1"/>
    <col min="17" max="17" width="13.7109375" customWidth="1"/>
  </cols>
  <sheetData>
    <row r="1" spans="1:17" ht="26" customHeight="1">
      <c r="A1" s="1" t="s">
        <v>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2" t="s">
        <v>62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5" spans="1:17">
      <c r="A5" s="2" t="s">
        <v>2</v>
      </c>
      <c r="B5" s="2" t="s">
        <v>3</v>
      </c>
      <c r="C5" s="2" t="s">
        <v>4</v>
      </c>
      <c r="D5" s="2" t="s">
        <v>63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71</v>
      </c>
      <c r="M5" s="2" t="s">
        <v>55</v>
      </c>
      <c r="N5" s="2" t="s">
        <v>72</v>
      </c>
      <c r="O5" s="2" t="s">
        <v>73</v>
      </c>
      <c r="P5" s="2" t="s">
        <v>74</v>
      </c>
      <c r="Q5" s="2" t="s">
        <v>75</v>
      </c>
    </row>
    <row r="6" spans="1:17">
      <c r="A6" s="4" t="s">
        <v>8</v>
      </c>
      <c r="B6" s="5" t="s">
        <v>9</v>
      </c>
      <c r="C6" s="4" t="s">
        <v>10</v>
      </c>
      <c r="D6" s="13">
        <f>'原始行情'!E279</f>
        <v>20.5</v>
      </c>
      <c r="E6" s="13">
        <f>'原始行情'!E3</f>
        <v>18.0</v>
      </c>
      <c r="F6" s="11">
        <f>PRODUCT(1+'月度收益'!B$2:B$24)-1</f>
        <v>0.1488490680035477</v>
      </c>
      <c r="G6" s="11">
        <f>(1+F6)^(12/23)-1</f>
        <v>0.07508190658720038</v>
      </c>
      <c r="H6" s="11">
        <f>STDEV.S('月度收益'!B$2:B$24)*SQRT(12)</f>
        <v>0.1456956289744867</v>
      </c>
      <c r="I6" s="13">
        <f>SLOPE('月度收益'!B$2:B$24,'月度收益'!$N$2:$N$24)</f>
        <v>1.2767811493183567</v>
      </c>
      <c r="J6" s="11">
        <f>'参数设置'!$B$4+I6*('组合分析'!$B$28-'参数设置'!$B$4)</f>
        <v>0.08476672921364378</v>
      </c>
      <c r="K6" s="11">
        <f>G6-J6</f>
        <v>-0.009684822626443407</v>
      </c>
      <c r="L6" s="11">
        <f>SQRT(SUMPRODUCT(('月度收益'!B$2:B$24&lt;0)*'月度收益'!B$2:B$24*'月度收益'!B$2:B$24)/COUNTIF('月度收益'!B$2:B$24,"&lt;0"))*SQRT(12)</f>
        <v>0.12326337609280806</v>
      </c>
      <c r="M6" s="11">
        <f>'参数设置'!E4</f>
        <v>0.1</v>
      </c>
      <c r="N6" s="11">
        <f>M6*G6</f>
        <v>0.007508190658720038</v>
      </c>
      <c r="O6" s="13">
        <f>M6*I6</f>
        <v>0.12767811493183567</v>
      </c>
      <c r="P6" s="14">
        <f>M6*'参数设置'!$B$3*'参数设置'!$B$7*H6/SQRT(12)</f>
        <v>69186.57022522126</v>
      </c>
      <c r="Q6" s="4" t="str">
        <f>IF(AND(K6&gt;1.5%,I6&lt;1.15),"增配观察",IF(K6&gt;-1%,"维持","降低暴露"))</f>
        <v>维持</v>
      </c>
    </row>
    <row r="7" spans="1:17">
      <c r="A7" s="4" t="s">
        <v>11</v>
      </c>
      <c r="B7" s="5" t="s">
        <v>12</v>
      </c>
      <c r="C7" s="4" t="s">
        <v>10</v>
      </c>
      <c r="D7" s="13">
        <f>'原始行情'!E280</f>
        <v>25.96</v>
      </c>
      <c r="E7" s="13">
        <f>'原始行情'!E4</f>
        <v>21.15</v>
      </c>
      <c r="F7" s="11">
        <f>PRODUCT(1+'月度收益'!C$2:C$24)-1</f>
        <v>0.23776348164741434</v>
      </c>
      <c r="G7" s="11">
        <f>(1+F7)^(12/23)-1</f>
        <v>0.1177191581110264</v>
      </c>
      <c r="H7" s="11">
        <f>STDEV.S('月度收益'!C$2:C$24)*SQRT(12)</f>
        <v>0.12055472227851159</v>
      </c>
      <c r="I7" s="13">
        <f>SLOPE('月度收益'!C$2:C$24,'月度收益'!$N$2:$N$24)</f>
        <v>0.9053807458088171</v>
      </c>
      <c r="J7" s="11">
        <f>'参数设置'!$B$4+I7*('组合分析'!$B$28-'参数设置'!$B$4)</f>
        <v>0.06650863653318181</v>
      </c>
      <c r="K7" s="11">
        <f>G7-J7</f>
        <v>0.05121052157784459</v>
      </c>
      <c r="L7" s="11">
        <f>SQRT(SUMPRODUCT(('月度收益'!C$2:C$24&lt;0)*'月度收益'!C$2:C$24*'月度收益'!C$2:C$24)/COUNTIF('月度收益'!C$2:C$24,"&lt;0"))*SQRT(12)</f>
        <v>0.1391463706132178</v>
      </c>
      <c r="M7" s="11">
        <f>'参数设置'!E5</f>
        <v>0.09</v>
      </c>
      <c r="N7" s="11">
        <f>M7*G7</f>
        <v>0.010594724229992376</v>
      </c>
      <c r="O7" s="13">
        <f>M7*I7</f>
        <v>0.08148426712279354</v>
      </c>
      <c r="P7" s="14">
        <f>M7*'参数设置'!$B$3*'参数设置'!$B$7*H7/SQRT(12)</f>
        <v>51523.103581428535</v>
      </c>
      <c r="Q7" s="4" t="str">
        <f>IF(AND(K7&gt;1.5%,I7&lt;1.15),"增配观察",IF(K7&gt;-1%,"维持","降低暴露"))</f>
        <v>增配观察</v>
      </c>
    </row>
    <row r="8" spans="1:17">
      <c r="A8" s="4" t="s">
        <v>13</v>
      </c>
      <c r="B8" s="5" t="s">
        <v>14</v>
      </c>
      <c r="C8" s="4" t="s">
        <v>15</v>
      </c>
      <c r="D8" s="13">
        <f>'原始行情'!E281</f>
        <v>30.48</v>
      </c>
      <c r="E8" s="13">
        <f>'原始行情'!E5</f>
        <v>24.3</v>
      </c>
      <c r="F8" s="11">
        <f>PRODUCT(1+'月度收益'!D$2:D$24)-1</f>
        <v>0.2642337861316264</v>
      </c>
      <c r="G8" s="11">
        <f>(1+F8)^(12/23)-1</f>
        <v>0.1301272195835621</v>
      </c>
      <c r="H8" s="11">
        <f>STDEV.S('月度收益'!D$2:D$24)*SQRT(12)</f>
        <v>0.13469917550784388</v>
      </c>
      <c r="I8" s="13">
        <f>SLOPE('月度收益'!D$2:D$24,'月度收益'!$N$2:$N$24)</f>
        <v>1.0547850693234158</v>
      </c>
      <c r="J8" s="11">
        <f>'参数设置'!$B$4+I8*('组合分析'!$B$28-'参数设置'!$B$4)</f>
        <v>0.07385337272575086</v>
      </c>
      <c r="K8" s="11">
        <f>G8-J8</f>
        <v>0.05627384685781124</v>
      </c>
      <c r="L8" s="11">
        <f>SQRT(SUMPRODUCT(('月度收益'!D$2:D$24&lt;0)*'月度收益'!D$2:D$24*'月度收益'!D$2:D$24)/COUNTIF('月度收益'!D$2:D$24,"&lt;0"))*SQRT(12)</f>
        <v>0.12461113132075254</v>
      </c>
      <c r="M8" s="11">
        <f>'参数设置'!E6</f>
        <v>0.1</v>
      </c>
      <c r="N8" s="11">
        <f>M8*G8</f>
        <v>0.013012721958356212</v>
      </c>
      <c r="O8" s="13">
        <f>M8*I8</f>
        <v>0.10547850693234158</v>
      </c>
      <c r="P8" s="14">
        <f>M8*'参数设置'!$B$3*'参数设置'!$B$7*H8/SQRT(12)</f>
        <v>63964.67780913862</v>
      </c>
      <c r="Q8" s="4" t="str">
        <f>IF(AND(K8&gt;1.5%,I8&lt;1.15),"增配观察",IF(K8&gt;-1%,"维持","降低暴露"))</f>
        <v>增配观察</v>
      </c>
    </row>
    <row r="9" spans="1:17">
      <c r="A9" s="4" t="s">
        <v>16</v>
      </c>
      <c r="B9" s="5" t="s">
        <v>17</v>
      </c>
      <c r="C9" s="4" t="s">
        <v>15</v>
      </c>
      <c r="D9" s="13">
        <f>'原始行情'!E282</f>
        <v>35.75</v>
      </c>
      <c r="E9" s="13">
        <f>'原始行情'!E6</f>
        <v>27.45</v>
      </c>
      <c r="F9" s="11">
        <f>PRODUCT(1+'月度收益'!E$2:E$24)-1</f>
        <v>0.3122932456601526</v>
      </c>
      <c r="G9" s="11">
        <f>(1+F9)^(12/23)-1</f>
        <v>0.1523418530794396</v>
      </c>
      <c r="H9" s="11">
        <f>STDEV.S('月度收益'!E$2:E$24)*SQRT(12)</f>
        <v>0.14692905527527328</v>
      </c>
      <c r="I9" s="13">
        <f>SLOPE('月度收益'!E$2:E$24,'月度收益'!$N$2:$N$24)</f>
        <v>1.1958995667562984</v>
      </c>
      <c r="J9" s="11">
        <f>'参数设置'!$B$4+I9*('组合分析'!$B$28-'参数设置'!$B$4)</f>
        <v>0.08079057997792394</v>
      </c>
      <c r="K9" s="11">
        <f>G9-J9</f>
        <v>0.07155127310151566</v>
      </c>
      <c r="L9" s="11">
        <f>SQRT(SUMPRODUCT(('月度收益'!E$2:E$24&lt;0)*'月度收益'!E$2:E$24*'月度收益'!E$2:E$24)/COUNTIF('月度收益'!E$2:E$24,"&lt;0"))*SQRT(12)</f>
        <v>0.12604139327636044</v>
      </c>
      <c r="M9" s="11">
        <f>'参数设置'!E7</f>
        <v>0.08</v>
      </c>
      <c r="N9" s="11">
        <f>M9*G9</f>
        <v>0.012187348246355168</v>
      </c>
      <c r="O9" s="13">
        <f>M9*I9</f>
        <v>0.09567196534050387</v>
      </c>
      <c r="P9" s="14">
        <f>M9*'参数设置'!$B$3*'参数设置'!$B$7*H9/SQRT(12)</f>
        <v>55817.83048664134</v>
      </c>
      <c r="Q9" s="4" t="str">
        <f>IF(AND(K9&gt;1.5%,I9&lt;1.15),"增配观察",IF(K9&gt;-1%,"维持","降低暴露"))</f>
        <v>维持</v>
      </c>
    </row>
    <row r="10" spans="1:17">
      <c r="A10" s="4" t="s">
        <v>18</v>
      </c>
      <c r="B10" s="5" t="s">
        <v>19</v>
      </c>
      <c r="C10" s="4" t="s">
        <v>20</v>
      </c>
      <c r="D10" s="13">
        <f>'原始行情'!E283</f>
        <v>37.66</v>
      </c>
      <c r="E10" s="13">
        <f>'原始行情'!E7</f>
        <v>30.6</v>
      </c>
      <c r="F10" s="11">
        <f>PRODUCT(1+'月度收益'!F$2:F$24)-1</f>
        <v>0.24003147534949654</v>
      </c>
      <c r="G10" s="11">
        <f>(1+F10)^(12/23)-1</f>
        <v>0.11878722910434703</v>
      </c>
      <c r="H10" s="11">
        <f>STDEV.S('月度收益'!F$2:F$24)*SQRT(12)</f>
        <v>0.15235002686894922</v>
      </c>
      <c r="I10" s="13">
        <f>SLOPE('月度收益'!F$2:F$24,'月度收益'!$N$2:$N$24)</f>
        <v>1.2477179581923739</v>
      </c>
      <c r="J10" s="11">
        <f>'参数设置'!$B$4+I10*('组合分析'!$B$28-'参数设置'!$B$4)</f>
        <v>0.08333797891570678</v>
      </c>
      <c r="K10" s="11">
        <f>G10-J10</f>
        <v>0.035449250188640244</v>
      </c>
      <c r="L10" s="11">
        <f>SQRT(SUMPRODUCT(('月度收益'!F$2:F$24&lt;0)*'月度收益'!F$2:F$24*'月度收益'!F$2:F$24)/COUNTIF('月度收益'!F$2:F$24,"&lt;0"))*SQRT(12)</f>
        <v>0.15505311981828174</v>
      </c>
      <c r="M10" s="11">
        <f>'参数设置'!E8</f>
        <v>0.09</v>
      </c>
      <c r="N10" s="11">
        <f>M10*G10</f>
        <v>0.010690850619391231</v>
      </c>
      <c r="O10" s="13">
        <f>M10*I10</f>
        <v>0.11229461623731364</v>
      </c>
      <c r="P10" s="14">
        <f>M10*'参数设置'!$B$3*'参数设置'!$B$7*H10/SQRT(12)</f>
        <v>65111.89330989353</v>
      </c>
      <c r="Q10" s="4" t="str">
        <f>IF(AND(K10&gt;1.5%,I10&lt;1.15),"增配观察",IF(K10&gt;-1%,"维持","降低暴露"))</f>
        <v>维持</v>
      </c>
    </row>
    <row r="11" spans="1:17">
      <c r="A11" s="4" t="s">
        <v>21</v>
      </c>
      <c r="B11" s="5" t="s">
        <v>22</v>
      </c>
      <c r="C11" s="4" t="s">
        <v>20</v>
      </c>
      <c r="D11" s="13">
        <f>'原始行情'!E284</f>
        <v>42.79</v>
      </c>
      <c r="E11" s="13">
        <f>'原始行情'!E8</f>
        <v>33.75</v>
      </c>
      <c r="F11" s="11">
        <f>PRODUCT(1+'月度收益'!G$2:G$24)-1</f>
        <v>0.2770151907933558</v>
      </c>
      <c r="G11" s="11">
        <f>(1+F11)^(12/23)-1</f>
        <v>0.13607405504986003</v>
      </c>
      <c r="H11" s="11">
        <f>STDEV.S('月度收益'!G$2:G$24)*SQRT(12)</f>
        <v>0.14193508207629768</v>
      </c>
      <c r="I11" s="13">
        <f>SLOPE('月度收益'!G$2:G$24,'月度收益'!$N$2:$N$24)</f>
        <v>1.146751788731645</v>
      </c>
      <c r="J11" s="11">
        <f>'参数设置'!$B$4+I11*('组合分析'!$B$28-'参数设置'!$B$4)</f>
        <v>0.07837446874666662</v>
      </c>
      <c r="K11" s="11">
        <f>G11-J11</f>
        <v>0.05769958630319341</v>
      </c>
      <c r="L11" s="11">
        <f>SQRT(SUMPRODUCT(('月度收益'!G$2:G$24&lt;0)*'月度收益'!G$2:G$24*'月度收益'!G$2:G$24)/COUNTIF('月度收益'!G$2:G$24,"&lt;0"))*SQRT(12)</f>
        <v>0.12260052075072218</v>
      </c>
      <c r="M11" s="11">
        <f>'参数设置'!E9</f>
        <v>0.07</v>
      </c>
      <c r="N11" s="11">
        <f>M11*G11</f>
        <v>0.009525183853490203</v>
      </c>
      <c r="O11" s="13">
        <f>M11*I11</f>
        <v>0.08027262521121516</v>
      </c>
      <c r="P11" s="14">
        <f>M11*'参数设置'!$B$3*'参数设置'!$B$7*H11/SQRT(12)</f>
        <v>47180.55795379937</v>
      </c>
      <c r="Q11" s="4" t="str">
        <f>IF(AND(K11&gt;1.5%,I11&lt;1.15),"增配观察",IF(K11&gt;-1%,"维持","降低暴露"))</f>
        <v>增配观察</v>
      </c>
    </row>
    <row r="12" spans="1:17">
      <c r="A12" s="4" t="s">
        <v>23</v>
      </c>
      <c r="B12" s="5" t="s">
        <v>24</v>
      </c>
      <c r="C12" s="4" t="s">
        <v>25</v>
      </c>
      <c r="D12" s="13">
        <f>'原始行情'!E285</f>
        <v>45.63</v>
      </c>
      <c r="E12" s="13">
        <f>'原始行情'!E9</f>
        <v>36.9</v>
      </c>
      <c r="F12" s="11">
        <f>PRODUCT(1+'月度收益'!H$2:H$24)-1</f>
        <v>0.24561171442789176</v>
      </c>
      <c r="G12" s="11">
        <f>(1+F12)^(12/23)-1</f>
        <v>0.12141117238882648</v>
      </c>
      <c r="H12" s="11">
        <f>STDEV.S('月度收益'!H$2:H$24)*SQRT(12)</f>
        <v>0.10340249541263921</v>
      </c>
      <c r="I12" s="13">
        <f>SLOPE('月度收益'!H$2:H$24,'月度收益'!$N$2:$N$24)</f>
        <v>0.7096873510466656</v>
      </c>
      <c r="J12" s="11">
        <f>'参数设置'!$B$4+I12*('组合分析'!$B$28-'参数设置'!$B$4)</f>
        <v>0.056888323510474445</v>
      </c>
      <c r="K12" s="11">
        <f>G12-J12</f>
        <v>0.06452284887835204</v>
      </c>
      <c r="L12" s="11">
        <f>SQRT(SUMPRODUCT(('月度收益'!H$2:H$24&lt;0)*'月度收益'!H$2:H$24*'月度收益'!H$2:H$24)/COUNTIF('月度收益'!H$2:H$24,"&lt;0"))*SQRT(12)</f>
        <v>0.10764621967712795</v>
      </c>
      <c r="M12" s="11">
        <f>'参数设置'!E10</f>
        <v>0.09</v>
      </c>
      <c r="N12" s="11">
        <f>M12*G12</f>
        <v>0.010927005514994382</v>
      </c>
      <c r="O12" s="13">
        <f>M12*I12</f>
        <v>0.0638718615941999</v>
      </c>
      <c r="P12" s="14">
        <f>M12*'参数设置'!$B$3*'参数设置'!$B$7*H12/SQRT(12)</f>
        <v>44192.5242000514</v>
      </c>
      <c r="Q12" s="4" t="str">
        <f>IF(AND(K12&gt;1.5%,I12&lt;1.15),"增配观察",IF(K12&gt;-1%,"维持","降低暴露"))</f>
        <v>增配观察</v>
      </c>
    </row>
    <row r="13" spans="1:17">
      <c r="A13" s="4" t="s">
        <v>26</v>
      </c>
      <c r="B13" s="5" t="s">
        <v>27</v>
      </c>
      <c r="C13" s="4" t="s">
        <v>25</v>
      </c>
      <c r="D13" s="13">
        <f>'原始行情'!E286</f>
        <v>50.69</v>
      </c>
      <c r="E13" s="13">
        <f>'原始行情'!E10</f>
        <v>40.05</v>
      </c>
      <c r="F13" s="11">
        <f>PRODUCT(1+'月度收益'!I$2:I$24)-1</f>
        <v>0.2746041837662183</v>
      </c>
      <c r="G13" s="11">
        <f>(1+F13)^(12/23)-1</f>
        <v>0.13495446590885574</v>
      </c>
      <c r="H13" s="11">
        <f>STDEV.S('月度收益'!I$2:I$24)*SQRT(12)</f>
        <v>0.09893832677334906</v>
      </c>
      <c r="I13" s="13">
        <f>SLOPE('月度收益'!I$2:I$24,'月度收益'!$N$2:$N$24)</f>
        <v>0.6635655624507926</v>
      </c>
      <c r="J13" s="11">
        <f>'参数设置'!$B$4+I13*('组合分析'!$B$28-'参数设置'!$B$4)</f>
        <v>0.05462097031749254</v>
      </c>
      <c r="K13" s="11">
        <f>G13-J13</f>
        <v>0.0803334955913632</v>
      </c>
      <c r="L13" s="11">
        <f>SQRT(SUMPRODUCT(('月度收益'!I$2:I$24&lt;0)*'月度收益'!I$2:I$24*'月度收益'!I$2:I$24)/COUNTIF('月度收益'!I$2:I$24,"&lt;0"))*SQRT(12)</f>
        <v>0.07033018954077394</v>
      </c>
      <c r="M13" s="11">
        <f>'参数设置'!E11</f>
        <v>0.08</v>
      </c>
      <c r="N13" s="11">
        <f>M13*G13</f>
        <v>0.01079635727270846</v>
      </c>
      <c r="O13" s="13">
        <f>M13*I13</f>
        <v>0.05308524499606341</v>
      </c>
      <c r="P13" s="14">
        <f>M13*'参数设置'!$B$3*'参数设置'!$B$7*H13/SQRT(12)</f>
        <v>37586.32179401287</v>
      </c>
      <c r="Q13" s="4" t="str">
        <f>IF(AND(K13&gt;1.5%,I13&lt;1.15),"增配观察",IF(K13&gt;-1%,"维持","降低暴露"))</f>
        <v>增配观察</v>
      </c>
    </row>
    <row r="14" spans="1:17">
      <c r="A14" s="4" t="s">
        <v>28</v>
      </c>
      <c r="B14" s="5" t="s">
        <v>29</v>
      </c>
      <c r="C14" s="4" t="s">
        <v>30</v>
      </c>
      <c r="D14" s="13">
        <f>'原始行情'!E287</f>
        <v>52.34</v>
      </c>
      <c r="E14" s="13">
        <f>'原始行情'!E11</f>
        <v>43.2</v>
      </c>
      <c r="F14" s="11">
        <f>PRODUCT(1+'月度收益'!J$2:J$24)-1</f>
        <v>0.2206084761072511</v>
      </c>
      <c r="G14" s="11">
        <f>(1+F14)^(12/23)-1</f>
        <v>0.10960980569378531</v>
      </c>
      <c r="H14" s="11">
        <f>STDEV.S('月度收益'!J$2:J$24)*SQRT(12)</f>
        <v>0.12796348354711454</v>
      </c>
      <c r="I14" s="13">
        <f>SLOPE('月度收益'!J$2:J$24,'月度收益'!$N$2:$N$24)</f>
        <v>0.9891348209809542</v>
      </c>
      <c r="J14" s="11">
        <f>'参数设置'!$B$4+I14*('组合分析'!$B$28-'参数设置'!$B$4)</f>
        <v>0.07062599788338286</v>
      </c>
      <c r="K14" s="11">
        <f>G14-J14</f>
        <v>0.03898380781040245</v>
      </c>
      <c r="L14" s="11">
        <f>SQRT(SUMPRODUCT(('月度收益'!J$2:J$24&lt;0)*'月度收益'!J$2:J$24*'月度收益'!J$2:J$24)/COUNTIF('月度收益'!J$2:J$24,"&lt;0"))*SQRT(12)</f>
        <v>0.11711826143503869</v>
      </c>
      <c r="M14" s="11">
        <f>'参数设置'!E12</f>
        <v>0.08</v>
      </c>
      <c r="N14" s="11">
        <f>M14*G14</f>
        <v>0.008768784455502825</v>
      </c>
      <c r="O14" s="13">
        <f>M14*I14</f>
        <v>0.07913078567847634</v>
      </c>
      <c r="P14" s="14">
        <f>M14*'参数设置'!$B$3*'参数设置'!$B$7*H14/SQRT(12)</f>
        <v>48612.87660041869</v>
      </c>
      <c r="Q14" s="4" t="str">
        <f>IF(AND(K14&gt;1.5%,I14&lt;1.15),"增配观察",IF(K14&gt;-1%,"维持","降低暴露"))</f>
        <v>增配观察</v>
      </c>
    </row>
    <row r="15" spans="1:17">
      <c r="A15" s="4" t="s">
        <v>31</v>
      </c>
      <c r="B15" s="5" t="s">
        <v>32</v>
      </c>
      <c r="C15" s="4" t="s">
        <v>30</v>
      </c>
      <c r="D15" s="13">
        <f>'原始行情'!E288</f>
        <v>57.74</v>
      </c>
      <c r="E15" s="13">
        <f>'原始行情'!E12</f>
        <v>46.35</v>
      </c>
      <c r="F15" s="11">
        <f>PRODUCT(1+'月度收益'!K$2:K$24)-1</f>
        <v>0.2549891016903554</v>
      </c>
      <c r="G15" s="11">
        <f>(1+F15)^(12/23)-1</f>
        <v>0.12580798344363342</v>
      </c>
      <c r="H15" s="11">
        <f>STDEV.S('月度收益'!K$2:K$24)*SQRT(12)</f>
        <v>0.12549312207531008</v>
      </c>
      <c r="I15" s="13">
        <f>SLOPE('月度收益'!K$2:K$24,'月度收益'!$N$2:$N$24)</f>
        <v>0.9834282584451242</v>
      </c>
      <c r="J15" s="11">
        <f>'参数设置'!$B$4+I15*('组合分析'!$B$28-'参数设置'!$B$4)</f>
        <v>0.07034546251863505</v>
      </c>
      <c r="K15" s="11">
        <f>G15-J15</f>
        <v>0.05546252092499837</v>
      </c>
      <c r="L15" s="11">
        <f>SQRT(SUMPRODUCT(('月度收益'!K$2:K$24&lt;0)*'月度收益'!K$2:K$24*'月度收益'!K$2:K$24)/COUNTIF('月度收益'!K$2:K$24,"&lt;0"))*SQRT(12)</f>
        <v>0.10227087655939598</v>
      </c>
      <c r="M15" s="11">
        <f>'参数设置'!E13</f>
        <v>0.07</v>
      </c>
      <c r="N15" s="11">
        <f>M15*G15</f>
        <v>0.00880655884105434</v>
      </c>
      <c r="O15" s="13">
        <f>M15*I15</f>
        <v>0.0688399780911587</v>
      </c>
      <c r="P15" s="14">
        <f>M15*'参数设置'!$B$3*'参数设置'!$B$7*H15/SQRT(12)</f>
        <v>41715.095607544165</v>
      </c>
      <c r="Q15" s="4" t="str">
        <f>IF(AND(K15&gt;1.5%,I15&lt;1.15),"增配观察",IF(K15&gt;-1%,"维持","降低暴露"))</f>
        <v>增配观察</v>
      </c>
    </row>
    <row r="16" spans="1:17">
      <c r="A16" s="4" t="s">
        <v>33</v>
      </c>
      <c r="B16" s="5" t="s">
        <v>34</v>
      </c>
      <c r="C16" s="4" t="s">
        <v>35</v>
      </c>
      <c r="D16" s="13">
        <f>'原始行情'!E289</f>
        <v>65.33</v>
      </c>
      <c r="E16" s="13">
        <f>'原始行情'!E13</f>
        <v>49.5</v>
      </c>
      <c r="F16" s="11">
        <f>PRODUCT(1+'月度收益'!L$2:L$24)-1</f>
        <v>0.32951072410107507</v>
      </c>
      <c r="G16" s="11">
        <f>(1+F16)^(12/23)-1</f>
        <v>0.1602053814271951</v>
      </c>
      <c r="H16" s="11">
        <f>STDEV.S('月度收益'!L$2:L$24)*SQRT(12)</f>
        <v>0.14278900532998365</v>
      </c>
      <c r="I16" s="13">
        <f>SLOPE('月度收益'!L$2:L$24,'月度收益'!$N$2:$N$24)</f>
        <v>1.1553402857334645</v>
      </c>
      <c r="J16" s="11">
        <f>'参数设置'!$B$4+I16*('组合分析'!$B$28-'参数设置'!$B$4)</f>
        <v>0.07879668038877397</v>
      </c>
      <c r="K16" s="11">
        <f>G16-J16</f>
        <v>0.08140870103842113</v>
      </c>
      <c r="L16" s="11">
        <f>SQRT(SUMPRODUCT(('月度收益'!L$2:L$24&lt;0)*'月度收益'!L$2:L$24*'月度收益'!L$2:L$24)/COUNTIF('月度收益'!L$2:L$24,"&lt;0"))*SQRT(12)</f>
        <v>0.13919227281716867</v>
      </c>
      <c r="M16" s="11">
        <f>'参数设置'!E14</f>
        <v>0.08</v>
      </c>
      <c r="N16" s="11">
        <f>M16*G16</f>
        <v>0.012816430514175609</v>
      </c>
      <c r="O16" s="13">
        <f>M16*I16</f>
        <v>0.09242722285867716</v>
      </c>
      <c r="P16" s="14">
        <f>M16*'参数设置'!$B$3*'参数设置'!$B$7*H16/SQRT(12)</f>
        <v>54245.04009729691</v>
      </c>
      <c r="Q16" s="4" t="str">
        <f>IF(AND(K16&gt;1.5%,I16&lt;1.15),"增配观察",IF(K16&gt;-1%,"维持","降低暴露"))</f>
        <v>维持</v>
      </c>
    </row>
    <row r="17" spans="1:17">
      <c r="A17" s="4" t="s">
        <v>36</v>
      </c>
      <c r="B17" s="5" t="s">
        <v>37</v>
      </c>
      <c r="C17" s="4" t="s">
        <v>35</v>
      </c>
      <c r="D17" s="13">
        <f>'原始行情'!E290</f>
        <v>71.78</v>
      </c>
      <c r="E17" s="13">
        <f>'原始行情'!E14</f>
        <v>52.65</v>
      </c>
      <c r="F17" s="11">
        <f>PRODUCT(1+'月度收益'!M$2:M$24)-1</f>
        <v>0.37347850404935756</v>
      </c>
      <c r="G17" s="11">
        <f>(1+F17)^(12/23)-1</f>
        <v>0.18006807392056023</v>
      </c>
      <c r="H17" s="11">
        <f>STDEV.S('月度收益'!M$2:M$24)*SQRT(12)</f>
        <v>0.1632534986219611</v>
      </c>
      <c r="I17" s="13">
        <f>SLOPE('月度收益'!M$2:M$24,'月度收益'!$N$2:$N$24)</f>
        <v>1.3806784934734606</v>
      </c>
      <c r="J17" s="11">
        <f>'参数设置'!$B$4+I17*('组合分析'!$B$28-'参数设置'!$B$4)</f>
        <v>0.08987433631614661</v>
      </c>
      <c r="K17" s="11">
        <f>G17-J17</f>
        <v>0.09019373760441363</v>
      </c>
      <c r="L17" s="11">
        <f>SQRT(SUMPRODUCT(('月度收益'!M$2:M$24&lt;0)*'月度收益'!M$2:M$24*'月度收益'!M$2:M$24)/COUNTIF('月度收益'!M$2:M$24,"&lt;0"))*SQRT(12)</f>
        <v>0.13042851338464057</v>
      </c>
      <c r="M17" s="11">
        <f>'参数设置'!E15</f>
        <v>0.07</v>
      </c>
      <c r="N17" s="11">
        <f>M17*G17</f>
        <v>0.012604765174439217</v>
      </c>
      <c r="O17" s="13">
        <f>M17*I17</f>
        <v>0.09664749454314225</v>
      </c>
      <c r="P17" s="14">
        <f>M17*'参数设置'!$B$3*'参数设置'!$B$7*H17/SQRT(12)</f>
        <v>54267.000379465695</v>
      </c>
      <c r="Q17" s="4" t="str">
        <f>IF(AND(K17&gt;1.5%,I17&lt;1.15),"增配观察",IF(K17&gt;-1%,"维持","降低暴露"))</f>
        <v>维持</v>
      </c>
    </row>
    <row r="20" spans="1:17">
      <c r="A20" s="7" t="s">
        <v>76</v>
      </c>
    </row>
    <row r="21" spans="1:17">
      <c r="A21" s="8" t="s">
        <v>77</v>
      </c>
      <c r="B21" s="11">
        <f>SUM(M6:M17)</f>
        <v>1.0</v>
      </c>
    </row>
    <row r="22" spans="1:17">
      <c r="A22" s="8" t="s">
        <v>78</v>
      </c>
      <c r="B22" s="11">
        <f>'月度收益'!P24^(12/23)-1</f>
        <v>0.13062683565537636</v>
      </c>
    </row>
    <row r="23" spans="1:17">
      <c r="A23" s="8" t="s">
        <v>79</v>
      </c>
      <c r="B23" s="11">
        <f>STDEV.S('月度收益'!O2:O24)*SQRT(12)</f>
        <v>0.11455607034702364</v>
      </c>
    </row>
    <row r="24" spans="1:17">
      <c r="A24" s="8" t="s">
        <v>80</v>
      </c>
      <c r="B24" s="13">
        <f>SUM(O6:O17)</f>
        <v>1.0568826835377212</v>
      </c>
    </row>
    <row r="25" spans="1:17">
      <c r="A25" s="8" t="s">
        <v>81</v>
      </c>
      <c r="B25" s="14">
        <f>'参数设置'!B3*'参数设置'!B7*STDEV.S('月度收益'!O2:O24)</f>
        <v>543993.0944790144</v>
      </c>
    </row>
    <row r="26" spans="1:17">
      <c r="A26" s="8" t="s">
        <v>82</v>
      </c>
      <c r="B26" s="13">
        <f>(B22-'参数设置'!B4)/B23</f>
        <v>0.9482416368361284</v>
      </c>
    </row>
    <row r="27" spans="1:17">
      <c r="A27" s="8" t="s">
        <v>83</v>
      </c>
      <c r="B27" s="11">
        <f>MIN('月度收益'!R2:R24)</f>
        <v>-0.1293314203092506</v>
      </c>
    </row>
    <row r="28" spans="1:17">
      <c r="A28" s="8" t="s">
        <v>84</v>
      </c>
      <c r="B28" s="11">
        <f>('原始行情'!G279/'原始行情'!G3)^(12/23)-1</f>
        <v>0.07116013151287004</v>
      </c>
    </row>
  </sheetData>
  <mergeCells count="2">
    <mergeCell ref="A1:Q1"/>
    <mergeCell ref="A2:Q2"/>
  </mergeCells>
  <conditionalFormatting sqref="K6:K1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P6:P17">
    <cfRule type="dataBar" priority="2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showGridLines="0" zoomScale="78" zoomScaleNormal="78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12.7109375" customWidth="1"/>
    <col min="2" max="18" width="13.7109375" customWidth="1"/>
  </cols>
  <sheetData>
    <row r="1" spans="1:18" x14ac:dyDescent="0.25">
      <c r="A1" s="2" t="s">
        <v>85</v>
      </c>
      <c r="B1" s="2" t="s">
        <v>8</v>
      </c>
      <c r="C1" s="2" t="s">
        <v>11</v>
      </c>
      <c r="D1" s="2" t="s">
        <v>13</v>
      </c>
      <c r="E1" s="2" t="s">
        <v>16</v>
      </c>
      <c r="F1" s="2" t="s">
        <v>18</v>
      </c>
      <c r="G1" s="2" t="s">
        <v>21</v>
      </c>
      <c r="H1" s="2" t="s">
        <v>23</v>
      </c>
      <c r="I1" s="2" t="s">
        <v>26</v>
      </c>
      <c r="J1" s="2" t="s">
        <v>28</v>
      </c>
      <c r="K1" s="2" t="s">
        <v>31</v>
      </c>
      <c r="L1" s="2" t="s">
        <v>33</v>
      </c>
      <c r="M1" s="2" t="s">
        <v>36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</row>
    <row r="2" spans="1:18" x14ac:dyDescent="0.25">
      <c r="A2" s="3">
        <v>45351</v>
      </c>
      <c r="B2" s="11">
        <f>('原始行情'!E15+'原始行情'!F15)/'原始行情'!E3-1</f>
        <v>0.04222222222222238</v>
      </c>
      <c r="C2" s="11">
        <f>('原始行情'!E16+'原始行情'!F16)/'原始行情'!E4-1</f>
        <v>0.0378250591016549</v>
      </c>
      <c r="D2" s="11">
        <f>('原始行情'!E17+'原始行情'!F17)/'原始行情'!E5-1</f>
        <v>0.02551440329218102</v>
      </c>
      <c r="E2" s="11">
        <f>('原始行情'!E18+'原始行情'!F18)/'原始行情'!E6-1</f>
        <v>0.014571948998178597</v>
      </c>
      <c r="F2" s="11">
        <f>('原始行情'!E19+'原始行情'!F19)/'原始行情'!E7-1</f>
        <v>0.008169934640522847</v>
      </c>
      <c r="G2" s="11">
        <f>('原始行情'!E20+'原始行情'!F20)/'原始行情'!E8-1</f>
        <v>0.020740740740740726</v>
      </c>
      <c r="H2" s="11">
        <f>('原始行情'!E21+'原始行情'!F21)/'原始行情'!E9-1</f>
        <v>0.02384823848238482</v>
      </c>
      <c r="I2" s="11">
        <f>('原始行情'!E22+'原始行情'!F22)/'原始行情'!E10-1</f>
        <v>0.05068664169787773</v>
      </c>
      <c r="J2" s="11">
        <f>('原始行情'!E23+'原始行情'!F23)/'原始行情'!E11-1</f>
        <v>0.0650462962962961</v>
      </c>
      <c r="K2" s="11">
        <f>('原始行情'!E24+'原始行情'!F24)/'原始行情'!E12-1</f>
        <v>0.06925566343042067</v>
      </c>
      <c r="L2" s="11">
        <f>('原始行情'!E25+'原始行情'!F25)/'原始行情'!E13-1</f>
        <v>0.05797979797979802</v>
      </c>
      <c r="M2" s="11">
        <f>('原始行情'!E26+'原始行情'!F26)/'原始行情'!E14-1</f>
        <v>0.03874643874643868</v>
      </c>
      <c r="N2" s="11">
        <f>'原始行情'!G15/'原始行情'!G3-1</f>
        <v>0.029309999999999947</v>
      </c>
      <c r="O2" s="11">
        <f>SUMPRODUCT(B2:M2,'参数设置'!$E$4:$E$15)</f>
        <v>0.037134327253655015</v>
      </c>
      <c r="P2" s="13">
        <f>1+O2</f>
        <v>1.037134327253655</v>
      </c>
      <c r="Q2" s="13">
        <f>1+N2</f>
        <v>1.02931</v>
      </c>
      <c r="R2" s="11">
        <f>P2/MAX($P$2:P2)-1</f>
        <v>0.0</v>
      </c>
    </row>
    <row r="3" spans="1:18" x14ac:dyDescent="0.25">
      <c r="A3" s="3">
        <v>45382</v>
      </c>
      <c r="B3" s="11">
        <f>('原始行情'!E27+'原始行情'!F27)/'原始行情'!E15-1</f>
        <v>0.030916844349680117</v>
      </c>
      <c r="C3" s="11">
        <f>('原始行情'!E28+'原始行情'!F28)/'原始行情'!E16-1</f>
        <v>0.009567198177676595</v>
      </c>
      <c r="D3" s="11">
        <f>('原始行情'!E29+'原始行情'!F29)/'原始行情'!E17-1</f>
        <v>-0.003611556982343611</v>
      </c>
      <c r="E3" s="11">
        <f>('原始行情'!E30+'原始行情'!F30)/'原始行情'!E18-1</f>
        <v>0.01292639138240581</v>
      </c>
      <c r="F3" s="11">
        <f>('原始行情'!E31+'原始行情'!F31)/'原始行情'!E19-1</f>
        <v>0.04440842787682331</v>
      </c>
      <c r="G3" s="11">
        <f>('原始行情'!E32+'原始行情'!F32)/'原始行情'!E20-1</f>
        <v>0.07053701015965164</v>
      </c>
      <c r="H3" s="11">
        <f>('原始行情'!E33+'原始行情'!F33)/'原始行情'!E21-1</f>
        <v>0.04790894653255706</v>
      </c>
      <c r="I3" s="11">
        <f>('原始行情'!E34+'原始行情'!F34)/'原始行情'!E22-1</f>
        <v>0.02709125475285168</v>
      </c>
      <c r="J3" s="11">
        <f>('原始行情'!E35+'原始行情'!F35)/'原始行情'!E23-1</f>
        <v>0.013040643338404712</v>
      </c>
      <c r="K3" s="11">
        <f>('原始行情'!E36+'原始行情'!F36)/'原始行情'!E24-1</f>
        <v>0.0288539144471347</v>
      </c>
      <c r="L3" s="11">
        <f>('原始行情'!E37+'原始行情'!F37)/'原始行情'!E25-1</f>
        <v>0.05289287760168038</v>
      </c>
      <c r="M3" s="11">
        <f>('原始行情'!E38+'原始行情'!F38)/'原始行情'!E26-1</f>
        <v>0.05832876211373206</v>
      </c>
      <c r="N3" s="11">
        <f>'原始行情'!G27/'原始行情'!G15-1</f>
        <v>0.02671692687334226</v>
      </c>
      <c r="O3" s="11">
        <f>SUMPRODUCT(B3:M3,'参数设置'!$E$4:$E$15)</f>
        <v>0.03141661170603247</v>
      </c>
      <c r="P3" s="13">
        <f>P2*(1+O3)</f>
        <v>1.0697175736999802</v>
      </c>
      <c r="Q3" s="13">
        <f>Q2*(1+N3)</f>
        <v>1.0568099999999998</v>
      </c>
      <c r="R3" s="11">
        <f>P3/MAX($P$2:P3)-1</f>
        <v>0.0</v>
      </c>
    </row>
    <row r="4" spans="1:18" x14ac:dyDescent="0.25">
      <c r="A4" s="3">
        <v>45412</v>
      </c>
      <c r="B4" s="11">
        <f>('原始行情'!E39+'原始行情'!F39)/'原始行情'!E27-1</f>
        <v>0.004136504653567741</v>
      </c>
      <c r="C4" s="11">
        <f>('原始行情'!E40+'原始行情'!F40)/'原始行情'!E28-1</f>
        <v>-0.019855595667870096</v>
      </c>
      <c r="D4" s="11">
        <f>('原始行情'!E41+'原始行情'!F41)/'原始行情'!E29-1</f>
        <v>0.002819170358437484</v>
      </c>
      <c r="E4" s="11">
        <f>('原始行情'!E42+'原始行情'!F42)/'原始行情'!E30-1</f>
        <v>0.04289259127968803</v>
      </c>
      <c r="F4" s="11">
        <f>('原始行情'!E43+'原始行情'!F43)/'原始行情'!E31-1</f>
        <v>0.03724394785847318</v>
      </c>
      <c r="G4" s="11">
        <f>('原始行情'!E44+'原始行情'!F44)/'原始行情'!E32-1</f>
        <v>0.011117136659435811</v>
      </c>
      <c r="H4" s="11">
        <f>('原始行情'!E45+'原始行情'!F45)/'原始行情'!E33-1</f>
        <v>0.009345794392523255</v>
      </c>
      <c r="I4" s="11">
        <f>('原始行情'!E46+'原始行情'!F46)/'原始行情'!E34-1</f>
        <v>0.04372975474317453</v>
      </c>
      <c r="J4" s="11">
        <f>('原始行情'!E47+'原始行情'!F47)/'原始行情'!E35-1</f>
        <v>0.03947650718729889</v>
      </c>
      <c r="K4" s="11">
        <f>('原始行情'!E48+'原始行情'!F48)/'原始行情'!E36-1</f>
        <v>0.002745636399293927</v>
      </c>
      <c r="L4" s="11">
        <f>('原始行情'!E49+'原始行情'!F49)/'原始行情'!E37-1</f>
        <v>-0.009067827348567259</v>
      </c>
      <c r="M4" s="11">
        <f>('原始行情'!E50+'原始行情'!F50)/'原始行情'!E38-1</f>
        <v>0.021423635107117978</v>
      </c>
      <c r="N4" s="11">
        <f>'原始行情'!G39/'原始行情'!G27-1</f>
        <v>0.012726980251890119</v>
      </c>
      <c r="O4" s="11">
        <f>SUMPRODUCT(B4:M4,'参数设置'!$E$4:$E$15)</f>
        <v>0.01493417133421877</v>
      </c>
      <c r="P4" s="13">
        <f>P3*(1+O4)</f>
        <v>1.0856929192248406</v>
      </c>
      <c r="Q4" s="13">
        <f>Q3*(1+N4)</f>
        <v>1.0702599999999998</v>
      </c>
      <c r="R4" s="11">
        <f>P4/MAX($P$2:P4)-1</f>
        <v>0.0</v>
      </c>
    </row>
    <row r="5" spans="1:18" x14ac:dyDescent="0.25">
      <c r="A5" s="3">
        <v>45443</v>
      </c>
      <c r="B5" s="11">
        <f>('原始行情'!E51+'原始行情'!F51)/'原始行情'!E39-1</f>
        <v>-0.023171987641606773</v>
      </c>
      <c r="C5" s="11">
        <f>('原始行情'!E52+'原始行情'!F52)/'原始行情'!E40-1</f>
        <v>-0.02117863720073654</v>
      </c>
      <c r="D5" s="11">
        <f>('原始行情'!E53+'原始行情'!F53)/'原始行情'!E41-1</f>
        <v>0.025301204819277112</v>
      </c>
      <c r="E5" s="11">
        <f>('原始行情'!E54+'原始行情'!F54)/'原始行情'!E42-1</f>
        <v>0.013936097892589983</v>
      </c>
      <c r="F5" s="11">
        <f>('原始行情'!E55+'原始行情'!F55)/'原始行情'!E43-1</f>
        <v>-0.015260323159784761</v>
      </c>
      <c r="G5" s="11">
        <f>('原始行情'!E56+'原始行情'!F56)/'原始行情'!E44-1</f>
        <v>0.02091713596138378</v>
      </c>
      <c r="H5" s="11">
        <f>('原始行情'!E57+'原始行情'!F57)/'原始行情'!E45-1</f>
        <v>0.03228228228228236</v>
      </c>
      <c r="I5" s="11">
        <f>('原始行情'!E58+'原始行情'!F58)/'原始行情'!E46-1</f>
        <v>-0.011527377521613702</v>
      </c>
      <c r="J5" s="11">
        <f>('原始行情'!E59+'原始行情'!F59)/'原始行情'!E47-1</f>
        <v>-0.010113519091847323</v>
      </c>
      <c r="K5" s="11">
        <f>('原始行情'!E60+'原始行情'!F60)/'原始行情'!E48-1</f>
        <v>0.018384510072364524</v>
      </c>
      <c r="L5" s="11">
        <f>('原始行情'!E61+'原始行情'!F61)/'原始行情'!E49-1</f>
        <v>-0.01482430453879946</v>
      </c>
      <c r="M5" s="11">
        <f>('原始行情'!E62+'原始行情'!F62)/'原始行情'!E50-1</f>
        <v>-0.03196887686062244</v>
      </c>
      <c r="N5" s="11">
        <f>'原始行情'!G51/'原始行情'!G39-1</f>
        <v>-0.003017958253134778</v>
      </c>
      <c r="O5" s="11">
        <f>SUMPRODUCT(B5:M5,'参数设置'!$E$4:$E$15)</f>
        <v>-0.0014502137279292998</v>
      </c>
      <c r="P5" s="13">
        <f>P4*(1+O5)</f>
        <v>1.0841184324490651</v>
      </c>
      <c r="Q5" s="13">
        <f>Q4*(1+N5)</f>
        <v>1.0670299999999997</v>
      </c>
      <c r="R5" s="11">
        <f>P5/MAX($P$2:P5)-1</f>
        <v>-0.001450213727929195</v>
      </c>
    </row>
    <row r="6" spans="1:18" x14ac:dyDescent="0.25">
      <c r="A6" s="3">
        <v>45473</v>
      </c>
      <c r="B6" s="11">
        <f>('原始行情'!E63+'原始行情'!F63)/'原始行情'!E51-1</f>
        <v>-0.030047443331576162</v>
      </c>
      <c r="C6" s="11">
        <f>('原始行情'!E64+'原始行情'!F64)/'原始行情'!E52-1</f>
        <v>0.009501411100658386</v>
      </c>
      <c r="D6" s="11">
        <f>('原始行情'!E65+'原始行情'!F65)/'原始行情'!E53-1</f>
        <v>0.018566392479435923</v>
      </c>
      <c r="E6" s="11">
        <f>('原始行情'!E66+'原始行情'!F66)/'原始行情'!E54-1</f>
        <v>-0.01521957760643633</v>
      </c>
      <c r="F6" s="11">
        <f>('原始行情'!E67+'原始行情'!F67)/'原始行情'!E55-1</f>
        <v>0.023032512914007874</v>
      </c>
      <c r="G6" s="11">
        <f>('原始行情'!E68+'原始行情'!F68)/'原始行情'!E56-1</f>
        <v>0.007880220646178104</v>
      </c>
      <c r="H6" s="11">
        <f>('原始行情'!E69+'原始行情'!F69)/'原始行情'!E57-1</f>
        <v>-0.01595151515151516</v>
      </c>
      <c r="I6" s="11">
        <f>('原始行情'!E70+'原始行情'!F70)/'原始行情'!E58-1</f>
        <v>0.02251625925095313</v>
      </c>
      <c r="J6" s="11">
        <f>('原始行情'!E71+'原始行情'!F71)/'原始行情'!E59-1</f>
        <v>-0.015929941618014976</v>
      </c>
      <c r="K6" s="11">
        <f>('原始行情'!E72+'原始行情'!F72)/'原始行情'!E60-1</f>
        <v>-0.03115037449587099</v>
      </c>
      <c r="L6" s="11">
        <f>('原始行情'!E73+'原始行情'!F73)/'原始行情'!E61-1</f>
        <v>0.009288500835965108</v>
      </c>
      <c r="M6" s="11">
        <f>('原始行情'!E74+'原始行情'!F74)/'原始行情'!E62-1</f>
        <v>-0.027223484186615243</v>
      </c>
      <c r="N6" s="11">
        <f>'原始行情'!G63/'原始行情'!G51-1</f>
        <v>-0.01029024488533592</v>
      </c>
      <c r="O6" s="11">
        <f>SUMPRODUCT(B6:M6,'参数设置'!$E$4:$E$15)</f>
        <v>-0.00313782368107464</v>
      </c>
      <c r="P6" s="13">
        <f>P5*(1+O6)</f>
        <v>1.0807166599586369</v>
      </c>
      <c r="Q6" s="13">
        <f>Q5*(1+N6)</f>
        <v>1.0560499999999997</v>
      </c>
      <c r="R6" s="11">
        <f>P6/MAX($P$2:P6)-1</f>
        <v>-0.004583486894025879</v>
      </c>
    </row>
    <row r="7" spans="1:18" x14ac:dyDescent="0.25">
      <c r="A7" s="3">
        <v>45504</v>
      </c>
      <c r="B7" s="11">
        <f>('原始行情'!E75+'原始行情'!F75)/'原始行情'!E63-1</f>
        <v>-0.02183406113537112</v>
      </c>
      <c r="C7" s="11">
        <f>('原始行情'!E76+'原始行情'!F76)/'原始行情'!E64-1</f>
        <v>0.03182030884417397</v>
      </c>
      <c r="D7" s="11">
        <f>('原始行情'!E77+'原始行情'!F77)/'原始行情'!E65-1</f>
        <v>-0.008494208494208455</v>
      </c>
      <c r="E7" s="11">
        <f>('原始行情'!E78+'原始行情'!F78)/'原始行情'!E66-1</f>
        <v>0.022898154477101862</v>
      </c>
      <c r="F7" s="11">
        <f>('原始行情'!E79+'原始行情'!F79)/'原始行情'!E67-1</f>
        <v>0.011627906976744207</v>
      </c>
      <c r="G7" s="11">
        <f>('原始行情'!E80+'原始行情'!F80)/'原始行情'!E68-1</f>
        <v>-0.01307873397855086</v>
      </c>
      <c r="H7" s="11">
        <f>('原始行情'!E81+'原始行情'!F81)/'原始行情'!E69-1</f>
        <v>0.02472799208704246</v>
      </c>
      <c r="I7" s="11">
        <f>('原始行情'!E82+'原始行情'!F82)/'原始行情'!E70-1</f>
        <v>-0.02861545234426588</v>
      </c>
      <c r="J7" s="11">
        <f>('原始行情'!E83+'原始行情'!F83)/'原始行情'!E71-1</f>
        <v>0.004891535516801326</v>
      </c>
      <c r="K7" s="11">
        <f>('原始行情'!E84+'原始行情'!F84)/'原始行情'!E72-1</f>
        <v>-0.01810584958217265</v>
      </c>
      <c r="L7" s="11">
        <f>('原始行情'!E85+'原始行情'!F85)/'原始行情'!E73-1</f>
        <v>-0.01791982264917802</v>
      </c>
      <c r="M7" s="11">
        <f>('原始行情'!E86+'原始行情'!F86)/'原始行情'!E74-1</f>
        <v>0.015326361341507333</v>
      </c>
      <c r="N7" s="11">
        <f>'原始行情'!G75/'原始行情'!G63-1</f>
        <v>-0.004138061644808344</v>
      </c>
      <c r="O7" s="11">
        <f>SUMPRODUCT(B7:M7,'参数设置'!$E$4:$E$15)</f>
        <v>0.0004933093934501105</v>
      </c>
      <c r="P7" s="13">
        <f>P6*(1+O7)</f>
        <v>1.0812497876386524</v>
      </c>
      <c r="Q7" s="13">
        <f>Q6*(1+N7)</f>
        <v>1.05168</v>
      </c>
      <c r="R7" s="11">
        <f>P7/MAX($P$2:P7)-1</f>
        <v>-0.004092438577715352</v>
      </c>
    </row>
    <row r="8" spans="1:18" x14ac:dyDescent="0.25">
      <c r="A8" s="3">
        <v>45535</v>
      </c>
      <c r="B8" s="11">
        <f>('原始行情'!E87+'原始行情'!F87)/'原始行情'!E75-1</f>
        <v>-0.0306919642857143</v>
      </c>
      <c r="C8" s="11">
        <f>('原始行情'!E88+'原始行情'!F88)/'原始行情'!E76-1</f>
        <v>-0.008616780045351491</v>
      </c>
      <c r="D8" s="11">
        <f>('原始行情'!E89+'原始行情'!F89)/'原始行情'!E77-1</f>
        <v>-0.04088785046728971</v>
      </c>
      <c r="E8" s="11">
        <f>('原始行情'!E90+'原始行情'!F90)/'原始行情'!E78-1</f>
        <v>-0.01069161376545269</v>
      </c>
      <c r="F8" s="11">
        <f>('原始行情'!E91+'原始行情'!F91)/'原始行情'!E79-1</f>
        <v>-0.06601827291482454</v>
      </c>
      <c r="G8" s="11">
        <f>('原始行情'!E92+'原始行情'!F92)/'原始行情'!E80-1</f>
        <v>-0.030214683275907595</v>
      </c>
      <c r="H8" s="11">
        <f>('原始行情'!E93+'原始行情'!F93)/'原始行情'!E81-1</f>
        <v>-0.05791505791505791</v>
      </c>
      <c r="I8" s="11">
        <f>('原始行情'!E94+'原始行情'!F94)/'原始行情'!E82-1</f>
        <v>-0.01608882846136417</v>
      </c>
      <c r="J8" s="11">
        <f>('原始行情'!E95+'原始行情'!F95)/'原始行情'!E83-1</f>
        <v>-0.07492063492063494</v>
      </c>
      <c r="K8" s="11">
        <f>('原始行情'!E96+'原始行情'!F96)/'原始行情'!E84-1</f>
        <v>-0.029584599797365718</v>
      </c>
      <c r="L8" s="11">
        <f>('原始行情'!E97+'原始行情'!F97)/'原始行情'!E85-1</f>
        <v>-0.07167042889390507</v>
      </c>
      <c r="M8" s="11">
        <f>('原始行情'!E98+'原始行情'!F98)/'原始行情'!E86-1</f>
        <v>-0.03143313798614811</v>
      </c>
      <c r="N8" s="11">
        <f>'原始行情'!G87/'原始行情'!G75-1</f>
        <v>-0.04293130990415339</v>
      </c>
      <c r="O8" s="11">
        <f>SUMPRODUCT(B8:M8,'参数设置'!$E$4:$E$15)</f>
        <v>-0.0393434814115395</v>
      </c>
      <c r="P8" s="13">
        <f>P7*(1+O8)</f>
        <v>1.03870965671746</v>
      </c>
      <c r="Q8" s="13">
        <f>Q7*(1+N8)</f>
        <v>1.00653</v>
      </c>
      <c r="R8" s="11">
        <f>P8/MAX($P$2:P8)-1</f>
        <v>-0.043274909208144696</v>
      </c>
    </row>
    <row r="9" spans="1:18" x14ac:dyDescent="0.25">
      <c r="A9" s="3">
        <v>45565</v>
      </c>
      <c r="B9" s="11">
        <f>('原始行情'!E99+'原始行情'!F99)/'原始行情'!E87-1</f>
        <v>0.04317789291882557</v>
      </c>
      <c r="C9" s="11">
        <f>('原始行情'!E100+'原始行情'!F100)/'原始行情'!E88-1</f>
        <v>0.026075022872827036</v>
      </c>
      <c r="D9" s="11">
        <f>('原始行情'!E101+'原始行情'!F101)/'原始行情'!E89-1</f>
        <v>0.05927730410069021</v>
      </c>
      <c r="E9" s="11">
        <f>('原始行情'!E102+'原始行情'!F102)/'原始行情'!E90-1</f>
        <v>0.021952043228639084</v>
      </c>
      <c r="F9" s="11">
        <f>('原始行情'!E103+'原始行情'!F103)/'原始行情'!E91-1</f>
        <v>0.05837803723572099</v>
      </c>
      <c r="G9" s="11">
        <f>('原始行情'!E104+'原始行情'!F104)/'原始行情'!E92-1</f>
        <v>0.010112052473353339</v>
      </c>
      <c r="H9" s="11">
        <f>('原始行情'!E105+'原始行情'!F105)/'原始行情'!E93-1</f>
        <v>0.03944672131147531</v>
      </c>
      <c r="I9" s="11">
        <f>('原始行情'!E106+'原始行情'!F106)/'原始行情'!E94-1</f>
        <v>-0.006678949792722211</v>
      </c>
      <c r="J9" s="11">
        <f>('原始行情'!E107+'原始行情'!F107)/'原始行情'!E95-1</f>
        <v>0.04415465568519794</v>
      </c>
      <c r="K9" s="11">
        <f>('原始行情'!E108+'原始行情'!F108)/'原始行情'!E96-1</f>
        <v>0.007934850699519824</v>
      </c>
      <c r="L9" s="11">
        <f>('原始行情'!E109+'原始行情'!F109)/'原始行情'!E97-1</f>
        <v>0.060182370820668574</v>
      </c>
      <c r="M9" s="11">
        <f>('原始行情'!E110+'原始行情'!F110)/'原始行情'!E98-1</f>
        <v>0.035203520352035333</v>
      </c>
      <c r="N9" s="11">
        <f>'原始行情'!G99/'原始行情'!G87-1</f>
        <v>0.02859328584344234</v>
      </c>
      <c r="O9" s="11">
        <f>SUMPRODUCT(B9:M9,'参数设置'!$E$4:$E$15)</f>
        <v>0.03469283927183994</v>
      </c>
      <c r="P9" s="13">
        <f>P8*(1+O9)</f>
        <v>1.074745443888067</v>
      </c>
      <c r="Q9" s="13">
        <f>Q8*(1+N9)</f>
        <v>1.03531</v>
      </c>
      <c r="R9" s="11">
        <f>P9/MAX($P$2:P9)-1</f>
        <v>-0.010083399405966254</v>
      </c>
    </row>
    <row r="10" spans="1:18" x14ac:dyDescent="0.25">
      <c r="A10" s="3">
        <v>45596</v>
      </c>
      <c r="B10" s="11">
        <f>('原始行情'!E111+'原始行情'!F111)/'原始行情'!E99-1</f>
        <v>0.061810154525386185</v>
      </c>
      <c r="C10" s="11">
        <f>('原始行情'!E112+'原始行情'!F112)/'原始行情'!E100-1</f>
        <v>0.01783325902808741</v>
      </c>
      <c r="D10" s="11">
        <f>('原始行情'!E113+'原始行情'!F113)/'原始行情'!E101-1</f>
        <v>0.06324262169413553</v>
      </c>
      <c r="E10" s="11">
        <f>('原始行情'!E114+'原始行情'!F114)/'原始行情'!E102-1</f>
        <v>0.034038334434897566</v>
      </c>
      <c r="F10" s="11">
        <f>('原始行情'!E115+'原始行情'!F115)/'原始行情'!E103-1</f>
        <v>0.03220035778175312</v>
      </c>
      <c r="G10" s="11">
        <f>('原始行情'!E116+'原始行情'!F116)/'原始行情'!E104-1</f>
        <v>0.05600649350649345</v>
      </c>
      <c r="H10" s="11">
        <f>('原始行情'!E117+'原始行情'!F117)/'原始行情'!E105-1</f>
        <v>-0.0061606702809265945</v>
      </c>
      <c r="I10" s="11">
        <f>('原始行情'!E118+'原始行情'!F118)/'原始行情'!E106-1</f>
        <v>0.049617435659633724</v>
      </c>
      <c r="J10" s="11">
        <f>('原始行情'!E119+'原始行情'!F119)/'原始行情'!E107-1</f>
        <v>0.015337423312883569</v>
      </c>
      <c r="K10" s="11">
        <f>('原始行情'!E120+'原始行情'!F120)/'原始行情'!E108-1</f>
        <v>0.04640563496996042</v>
      </c>
      <c r="L10" s="11">
        <f>('原始行情'!E121+'原始行情'!F121)/'原始行情'!E109-1</f>
        <v>0.06422018348623859</v>
      </c>
      <c r="M10" s="11">
        <f>('原始行情'!E122+'原始行情'!F122)/'原始行情'!E110-1</f>
        <v>0.04268508678710581</v>
      </c>
      <c r="N10" s="11">
        <f>'原始行情'!G111/'原始行情'!G99-1</f>
        <v>0.034888101148448314</v>
      </c>
      <c r="O10" s="11">
        <f>SUMPRODUCT(B10:M10,'参数设置'!$E$4:$E$15)</f>
        <v>0.03966771802949588</v>
      </c>
      <c r="P10" s="13">
        <f>P9*(1+O10)</f>
        <v>1.1173781431097043</v>
      </c>
      <c r="Q10" s="13">
        <f>Q9*(1+N10)</f>
        <v>1.0714299999999999</v>
      </c>
      <c r="R10" s="11">
        <f>P10/MAX($P$2:P10)-1</f>
        <v>0.0</v>
      </c>
    </row>
    <row r="11" spans="1:18" x14ac:dyDescent="0.25">
      <c r="A11" s="3">
        <v>45626</v>
      </c>
      <c r="B11" s="11">
        <f>('原始行情'!E123+'原始行情'!F123)/'原始行情'!E111-1</f>
        <v>0.08731808731808743</v>
      </c>
      <c r="C11" s="11">
        <f>('原始行情'!E124+'原始行情'!F124)/'原始行情'!E112-1</f>
        <v>0.059570740254051735</v>
      </c>
      <c r="D11" s="11">
        <f>('原始行情'!E125+'原始行情'!F125)/'原始行情'!E113-1</f>
        <v>0.05803893294881046</v>
      </c>
      <c r="E11" s="11">
        <f>('原始行情'!E126+'原始行情'!F126)/'原始行情'!E114-1</f>
        <v>0.10035155001597951</v>
      </c>
      <c r="F11" s="11">
        <f>('原始行情'!E127+'原始行情'!F127)/'原始行情'!E115-1</f>
        <v>0.06008087810514162</v>
      </c>
      <c r="G11" s="11">
        <f>('原始行情'!E128+'原始行情'!F128)/'原始行情'!E116-1</f>
        <v>0.07993850883935427</v>
      </c>
      <c r="H11" s="11">
        <f>('原始行情'!E129+'原始行情'!F129)/'原始行情'!E117-1</f>
        <v>0.06893131663773877</v>
      </c>
      <c r="I11" s="11">
        <f>('原始行情'!E130+'原始行情'!F130)/'原始行情'!E118-1</f>
        <v>0.039098740888005246</v>
      </c>
      <c r="J11" s="11">
        <f>('原始行情'!E131+'原始行情'!F131)/'原始行情'!E119-1</f>
        <v>0.07552870090634434</v>
      </c>
      <c r="K11" s="11">
        <f>('原始行情'!E132+'原始行情'!F132)/'原始行情'!E120-1</f>
        <v>0.10532567808354787</v>
      </c>
      <c r="L11" s="11">
        <f>('原始行情'!E133+'原始行情'!F133)/'原始行情'!E121-1</f>
        <v>0.07632902298850586</v>
      </c>
      <c r="M11" s="11">
        <f>('原始行情'!E134+'原始行情'!F134)/'原始行情'!E122-1</f>
        <v>0.12332257516561906</v>
      </c>
      <c r="N11" s="11">
        <f>'原始行情'!G123/'原始行情'!G111-1</f>
        <v>0.07077457230057016</v>
      </c>
      <c r="O11" s="11">
        <f>SUMPRODUCT(B11:M11,'参数设置'!$E$4:$E$15)</f>
        <v>0.07641388070651696</v>
      </c>
      <c r="P11" s="13">
        <f>P10*(1+O11)</f>
        <v>1.2027613432413586</v>
      </c>
      <c r="Q11" s="13">
        <f>Q10*(1+N11)</f>
        <v>1.1472599999999997</v>
      </c>
      <c r="R11" s="11">
        <f>P11/MAX($P$2:P11)-1</f>
        <v>0.0</v>
      </c>
    </row>
    <row r="12" spans="1:18" x14ac:dyDescent="0.25">
      <c r="A12" s="3">
        <v>45657</v>
      </c>
      <c r="B12" s="11">
        <f>('原始行情'!E135+'原始行情'!F135)/'原始行情'!E123-1</f>
        <v>0.02390057361376674</v>
      </c>
      <c r="C12" s="11">
        <f>('原始行情'!E136+'原始行情'!F136)/'原始行情'!E124-1</f>
        <v>0.023563455973542702</v>
      </c>
      <c r="D12" s="11">
        <f>('原始行情'!E137+'原始行情'!F137)/'原始行情'!E125-1</f>
        <v>-0.019761499148211348</v>
      </c>
      <c r="E12" s="11">
        <f>('原始行情'!E138+'原始行情'!F138)/'原始行情'!E126-1</f>
        <v>-0.005227998838222447</v>
      </c>
      <c r="F12" s="11">
        <f>('原始行情'!E139+'原始行情'!F139)/'原始行情'!E127-1</f>
        <v>0.020980926430517632</v>
      </c>
      <c r="G12" s="11">
        <f>('原始行情'!E140+'原始行情'!F140)/'原始行情'!E128-1</f>
        <v>-0.008066429418742471</v>
      </c>
      <c r="H12" s="11">
        <f>('原始行情'!E141+'原始行情'!F141)/'原始行情'!E129-1</f>
        <v>-0.016933426119229766</v>
      </c>
      <c r="I12" s="11">
        <f>('原始行情'!E142+'原始行情'!F142)/'原始行情'!E130-1</f>
        <v>0.030824829931972886</v>
      </c>
      <c r="J12" s="11">
        <f>('原始行情'!E143+'原始行情'!F143)/'原始行情'!E131-1</f>
        <v>0.024478330658106007</v>
      </c>
      <c r="K12" s="11">
        <f>('原始行情'!E144+'原始行情'!F144)/'原始行情'!E132-1</f>
        <v>-0.004836109618484574</v>
      </c>
      <c r="L12" s="11">
        <f>('原始行情'!E145+'原始行情'!F145)/'原始行情'!E133-1</f>
        <v>0.025362923410645832</v>
      </c>
      <c r="M12" s="11">
        <f>('原始行情'!E146+'原始行情'!F146)/'原始行情'!E134-1</f>
        <v>0.044457885982156276</v>
      </c>
      <c r="N12" s="11">
        <f>'原始行情'!G135/'原始行情'!G123-1</f>
        <v>0.004584836915781931</v>
      </c>
      <c r="O12" s="11">
        <f>SUMPRODUCT(B12:M12,'参数设置'!$E$4:$E$15)</f>
        <v>0.011142814611335518</v>
      </c>
      <c r="P12" s="13">
        <f>P11*(1+O12)</f>
        <v>1.216163489910778</v>
      </c>
      <c r="Q12" s="13">
        <f>Q11*(1+N12)</f>
        <v>1.1525199999999998</v>
      </c>
      <c r="R12" s="11">
        <f>P12/MAX($P$2:P12)-1</f>
        <v>0.0</v>
      </c>
    </row>
    <row r="13" spans="1:18" x14ac:dyDescent="0.25">
      <c r="A13" s="3">
        <v>45688</v>
      </c>
      <c r="B13" s="11">
        <f>('原始行情'!E147+'原始行情'!F147)/'原始行情'!E135-1</f>
        <v>-0.016806722689075793</v>
      </c>
      <c r="C13" s="11">
        <f>('原始行情'!E148+'原始行情'!F148)/'原始行情'!E136-1</f>
        <v>0.005250403877221199</v>
      </c>
      <c r="D13" s="11">
        <f>('原始行情'!E149+'原始行情'!F149)/'原始行情'!E137-1</f>
        <v>-0.014250955856795255</v>
      </c>
      <c r="E13" s="11">
        <f>('原始行情'!E150+'原始行情'!F150)/'原始行情'!E138-1</f>
        <v>-0.04759124087591249</v>
      </c>
      <c r="F13" s="11">
        <f>('原始行情'!E151+'原始行情'!F151)/'原始行情'!E139-1</f>
        <v>-0.04296770749933276</v>
      </c>
      <c r="G13" s="11">
        <f>('原始行情'!E152+'原始行情'!F152)/'原始行情'!E140-1</f>
        <v>-0.005740253527864225</v>
      </c>
      <c r="H13" s="11">
        <f>('原始行情'!E153+'原始行情'!F153)/'原始行情'!E141-1</f>
        <v>0.0108541764983483</v>
      </c>
      <c r="I13" s="11">
        <f>('原始行情'!E154+'原始行情'!F154)/'原始行情'!E142-1</f>
        <v>-0.017941843679109226</v>
      </c>
      <c r="J13" s="11">
        <f>('原始行情'!E155+'原始行情'!F155)/'原始行情'!E143-1</f>
        <v>-0.024676850763807434</v>
      </c>
      <c r="K13" s="11">
        <f>('原始行情'!E156+'原始行情'!F156)/'原始行情'!E144-1</f>
        <v>0.007739380849532074</v>
      </c>
      <c r="L13" s="11">
        <f>('原始行情'!E157+'原始行情'!F157)/'原始行情'!E145-1</f>
        <v>0.015296989422294516</v>
      </c>
      <c r="M13" s="11">
        <f>('原始行情'!E158+'原始行情'!F158)/'原始行情'!E146-1</f>
        <v>-0.021282756623715038</v>
      </c>
      <c r="N13" s="11">
        <f>'原始行情'!G147/'原始行情'!G135-1</f>
        <v>-0.01832506160413694</v>
      </c>
      <c r="O13" s="11">
        <f>SUMPRODUCT(B13:M13,'参数设置'!$E$4:$E$15)</f>
        <v>-0.012866339018591872</v>
      </c>
      <c r="P13" s="13">
        <f>P12*(1+O13)</f>
        <v>1.2005159181475522</v>
      </c>
      <c r="Q13" s="13">
        <f>Q12*(1+N13)</f>
        <v>1.1314</v>
      </c>
      <c r="R13" s="11">
        <f>P13/MAX($P$2:P13)-1</f>
        <v>-0.0128663390185918</v>
      </c>
    </row>
    <row r="14" spans="1:18" x14ac:dyDescent="0.25">
      <c r="A14" s="3">
        <v>45716</v>
      </c>
      <c r="B14" s="11">
        <f>('原始行情'!E159+'原始行情'!F159)/'原始行情'!E147-1</f>
        <v>-0.04700854700854695</v>
      </c>
      <c r="C14" s="11">
        <f>('原始行情'!E160+'原始行情'!F160)/'原始行情'!E148-1</f>
        <v>-0.029329047810365605</v>
      </c>
      <c r="D14" s="11">
        <f>('原始行情'!E161+'原始行情'!F161)/'原始行情'!E149-1</f>
        <v>-0.013046544428772955</v>
      </c>
      <c r="E14" s="11">
        <f>('原始行情'!E162+'原始行情'!F162)/'原始行情'!E150-1</f>
        <v>-0.019926425505824574</v>
      </c>
      <c r="F14" s="11">
        <f>('原始行情'!E163+'原始行情'!F163)/'原始行情'!E151-1</f>
        <v>-0.047964305633017235</v>
      </c>
      <c r="G14" s="11">
        <f>('原始行情'!E164+'原始行情'!F164)/'原始行情'!E152-1</f>
        <v>-0.060861197979312</v>
      </c>
      <c r="H14" s="11">
        <f>('原始行情'!E165+'原始行情'!F165)/'原始行情'!E153-1</f>
        <v>-0.024276377217553824</v>
      </c>
      <c r="I14" s="11">
        <f>('原始行情'!E166+'原始行情'!F166)/'原始行情'!E154-1</f>
        <v>0.0031499370012599837</v>
      </c>
      <c r="J14" s="11">
        <f>('原始行情'!E167+'原始行情'!F167)/'原始行情'!E155-1</f>
        <v>0.009236947791164685</v>
      </c>
      <c r="K14" s="11">
        <f>('原始行情'!E168+'原始行情'!F168)/'原始行情'!E156-1</f>
        <v>-0.010358992677263923</v>
      </c>
      <c r="L14" s="11">
        <f>('原始行情'!E169+'原始行情'!F169)/'原始行情'!E157-1</f>
        <v>-0.044077576534701124</v>
      </c>
      <c r="M14" s="11">
        <f>('原始行情'!E170+'原始行情'!F170)/'原始行情'!E158-1</f>
        <v>-0.06168639053254432</v>
      </c>
      <c r="N14" s="11">
        <f>'原始行情'!G159/'原始行情'!G147-1</f>
        <v>-0.03127983029874504</v>
      </c>
      <c r="O14" s="11">
        <f>SUMPRODUCT(B14:M14,'参数设置'!$E$4:$E$15)</f>
        <v>-0.02857961496630279</v>
      </c>
      <c r="P14" s="13">
        <f>P13*(1+O14)</f>
        <v>1.1662056354459778</v>
      </c>
      <c r="Q14" s="13">
        <f>Q13*(1+N14)</f>
        <v>1.09601</v>
      </c>
      <c r="R14" s="11">
        <f>P14/MAX($P$2:P14)-1</f>
        <v>-0.041078238969717296</v>
      </c>
    </row>
    <row r="15" spans="1:18" x14ac:dyDescent="0.25">
      <c r="A15" s="3">
        <v>45747</v>
      </c>
      <c r="B15" s="11">
        <f>('原始行情'!E171+'原始行情'!F171)/'原始行情'!E159-1</f>
        <v>-0.05331340308918786</v>
      </c>
      <c r="C15" s="11">
        <f>('原始行情'!E172+'原始行情'!F172)/'原始行情'!E160-1</f>
        <v>-0.05173841059602646</v>
      </c>
      <c r="D15" s="11">
        <f>('原始行情'!E173+'原始行情'!F173)/'原始行情'!E161-1</f>
        <v>-0.03644158628081451</v>
      </c>
      <c r="E15" s="11">
        <f>('原始行情'!E174+'原始行情'!F174)/'原始行情'!E162-1</f>
        <v>-0.01563966218329682</v>
      </c>
      <c r="F15" s="11">
        <f>('原始行情'!E175+'原始行情'!F175)/'原始行情'!E163-1</f>
        <v>-0.005272407732864637</v>
      </c>
      <c r="G15" s="11">
        <f>('原始行情'!E176+'原始行情'!F176)/'原始行情'!E164-1</f>
        <v>-0.0023053278688524026</v>
      </c>
      <c r="H15" s="11">
        <f>('原始行情'!E177+'原始行情'!F177)/'原始行情'!E165-1</f>
        <v>0.00645933014354072</v>
      </c>
      <c r="I15" s="11">
        <f>('原始行情'!E178+'原始行情'!F178)/'原始行情'!E166-1</f>
        <v>-0.012978857023236423</v>
      </c>
      <c r="J15" s="11">
        <f>('原始行情'!E179+'原始行情'!F179)/'原始行情'!E167-1</f>
        <v>-0.03621169916434541</v>
      </c>
      <c r="K15" s="11">
        <f>('原始行情'!E180+'原始行情'!F180)/'原始行情'!E168-1</f>
        <v>-0.04620104674246517</v>
      </c>
      <c r="L15" s="11">
        <f>('原始行情'!E181+'原始行情'!F181)/'原始行情'!E169-1</f>
        <v>-0.04493628437290409</v>
      </c>
      <c r="M15" s="11">
        <f>('原始行情'!E182+'原始行情'!F182)/'原始行情'!E170-1</f>
        <v>-0.03531451994324453</v>
      </c>
      <c r="N15" s="11">
        <f>'原始行情'!G171/'原始行情'!G159-1</f>
        <v>-0.02753624510725272</v>
      </c>
      <c r="O15" s="11">
        <f>SUMPRODUCT(B15:M15,'参数设置'!$E$4:$E$15)</f>
        <v>-0.02817391571200374</v>
      </c>
      <c r="P15" s="13">
        <f>P14*(1+O15)</f>
        <v>1.133349056170059</v>
      </c>
      <c r="Q15" s="13">
        <f>Q14*(1+N15)</f>
        <v>1.0658299999999998</v>
      </c>
      <c r="R15" s="11">
        <f>P15/MAX($P$2:P15)-1</f>
        <v>-0.0680948198393907</v>
      </c>
    </row>
    <row r="16" spans="1:18" x14ac:dyDescent="0.25">
      <c r="A16" s="3">
        <v>45777</v>
      </c>
      <c r="B16" s="11">
        <f>('原始行情'!E183+'原始行情'!F183)/'原始行情'!E171-1</f>
        <v>-0.07210526315789478</v>
      </c>
      <c r="C16" s="11">
        <f>('原始行情'!E184+'原始行情'!F184)/'原始行情'!E172-1</f>
        <v>-0.08206023570493226</v>
      </c>
      <c r="D16" s="11">
        <f>('原始行情'!E185+'原始行情'!F185)/'原始行情'!E173-1</f>
        <v>-0.08602150537634412</v>
      </c>
      <c r="E16" s="11">
        <f>('原始行情'!E186+'原始行情'!F186)/'原始行情'!E174-1</f>
        <v>-0.08579599618684464</v>
      </c>
      <c r="F16" s="11">
        <f>('原始行情'!E187+'原始行情'!F187)/'原始行情'!E175-1</f>
        <v>-0.08745583038869265</v>
      </c>
      <c r="G16" s="11">
        <f>('原始行情'!E188+'原始行情'!F188)/'原始行情'!E176-1</f>
        <v>-0.08395378690629018</v>
      </c>
      <c r="H16" s="11">
        <f>('原始行情'!E189+'原始行情'!F189)/'原始行情'!E177-1</f>
        <v>-0.035179462800094985</v>
      </c>
      <c r="I16" s="11">
        <f>('原始行情'!E190+'原始行情'!F190)/'原始行情'!E178-1</f>
        <v>-0.03520678685047718</v>
      </c>
      <c r="J16" s="11">
        <f>('原始行情'!E191+'原始行情'!F191)/'原始行情'!E179-1</f>
        <v>-0.04314616019818329</v>
      </c>
      <c r="K16" s="11">
        <f>('原始行情'!E192+'原始行情'!F192)/'原始行情'!E180-1</f>
        <v>-0.048817407757805076</v>
      </c>
      <c r="L16" s="11">
        <f>('原始行情'!E193+'原始行情'!F193)/'原始行情'!E181-1</f>
        <v>-0.0563553370786517</v>
      </c>
      <c r="M16" s="11">
        <f>('原始行情'!E194+'原始行情'!F194)/'原始行情'!E182-1</f>
        <v>-0.06487988233371467</v>
      </c>
      <c r="N16" s="11">
        <f>'原始行情'!G183/'原始行情'!G171-1</f>
        <v>-0.06409089629678277</v>
      </c>
      <c r="O16" s="11">
        <f>SUMPRODUCT(B16:M16,'参数设置'!$E$4:$E$15)</f>
        <v>-0.06571119226883793</v>
      </c>
      <c r="P16" s="13">
        <f>P15*(1+O16)</f>
        <v>1.0588753384323621</v>
      </c>
      <c r="Q16" s="13">
        <f>Q15*(1+N16)</f>
        <v>0.9975199999999999</v>
      </c>
      <c r="R16" s="11">
        <f>P16/MAX($P$2:P16)-1</f>
        <v>-0.1293314203092506</v>
      </c>
    </row>
    <row r="17" spans="1:18" x14ac:dyDescent="0.25">
      <c r="A17" s="3">
        <v>45808</v>
      </c>
      <c r="B17" s="11">
        <f>('原始行情'!E195+'原始行情'!F195)/'原始行情'!E183-1</f>
        <v>0.00340328984685212</v>
      </c>
      <c r="C17" s="11">
        <f>('原始行情'!E196+'原始行情'!F196)/'原始行情'!E184-1</f>
        <v>0.011887779362814932</v>
      </c>
      <c r="D17" s="11">
        <f>('原始行情'!E197+'原始行情'!F197)/'原始行情'!E185-1</f>
        <v>0.021095334685598433</v>
      </c>
      <c r="E17" s="11">
        <f>('原始行情'!E198+'原始行情'!F198)/'原始行情'!E186-1</f>
        <v>0.029892248870351024</v>
      </c>
      <c r="F17" s="11">
        <f>('原始行情'!E199+'原始行情'!F199)/'原始行情'!E187-1</f>
        <v>0.0319457889641821</v>
      </c>
      <c r="G17" s="11">
        <f>('原始行情'!E200+'原始行情'!F200)/'原始行情'!E188-1</f>
        <v>0.03587443946188351</v>
      </c>
      <c r="H17" s="11">
        <f>('原始行情'!E201+'原始行情'!F201)/'原始行情'!E189-1</f>
        <v>0.025868440502586854</v>
      </c>
      <c r="I17" s="11">
        <f>('原始行情'!E202+'原始行情'!F202)/'原始行情'!E190-1</f>
        <v>0.023961310178061135</v>
      </c>
      <c r="J17" s="11">
        <f>('原始行情'!E203+'原始行情'!F203)/'原始行情'!E191-1</f>
        <v>0.015965480043149904</v>
      </c>
      <c r="K17" s="11">
        <f>('原始行情'!E204+'原始行情'!F204)/'原始行情'!E192-1</f>
        <v>0.013526954445991723</v>
      </c>
      <c r="L17" s="11">
        <f>('原始行情'!E205+'原始行情'!F205)/'原始行情'!E193-1</f>
        <v>0.013023255813953583</v>
      </c>
      <c r="M17" s="11">
        <f>('原始行情'!E206+'原始行情'!F206)/'原始行情'!E194-1</f>
        <v>0.015728766165676422</v>
      </c>
      <c r="N17" s="11">
        <f>'原始行情'!G195/'原始行情'!G183-1</f>
        <v>0.014475900232576944</v>
      </c>
      <c r="O17" s="11">
        <f>SUMPRODUCT(B17:M17,'参数设置'!$E$4:$E$15)</f>
        <v>0.01990953804549747</v>
      </c>
      <c r="P17" s="13">
        <f>P16*(1+O17)</f>
        <v>1.0799570572683201</v>
      </c>
      <c r="Q17" s="13">
        <f>Q16*(1+N17)</f>
        <v>1.01196</v>
      </c>
      <c r="R17" s="11">
        <f>P17/MAX($P$2:P17)-1</f>
        <v>-0.11199681109687853</v>
      </c>
    </row>
    <row r="18" spans="1:18" x14ac:dyDescent="0.25">
      <c r="A18" s="3">
        <v>45838</v>
      </c>
      <c r="B18" s="11">
        <f>('原始行情'!E207+'原始行情'!F207)/'原始行情'!E195-1</f>
        <v>0.0418315432447709</v>
      </c>
      <c r="C18" s="11">
        <f>('原始行情'!E208+'原始行情'!F208)/'原始行情'!E196-1</f>
        <v>0.05836466165413512</v>
      </c>
      <c r="D18" s="11">
        <f>('原始行情'!E209+'原始行情'!F209)/'原始行情'!E197-1</f>
        <v>0.07127532777115597</v>
      </c>
      <c r="E18" s="11">
        <f>('原始行情'!E210+'原始行情'!F210)/'原始行情'!E198-1</f>
        <v>0.07883901451231856</v>
      </c>
      <c r="F18" s="11">
        <f>('原始行情'!E211+'原始行情'!F211)/'原始行情'!E199-1</f>
        <v>0.0752970606629142</v>
      </c>
      <c r="G18" s="11">
        <f>('原始行情'!E212+'原始行情'!F212)/'原始行情'!E200-1</f>
        <v>0.07007575757575757</v>
      </c>
      <c r="H18" s="11">
        <f>('原始行情'!E213+'原始行情'!F213)/'原始行情'!E201-1</f>
        <v>0.03847262247838623</v>
      </c>
      <c r="I18" s="11">
        <f>('原始行情'!E214+'原始行情'!F214)/'原始行情'!E202-1</f>
        <v>0.027565478746243155</v>
      </c>
      <c r="J18" s="11">
        <f>('原始行情'!E215+'原始行情'!F215)/'原始行情'!E203-1</f>
        <v>0.013930770864302389</v>
      </c>
      <c r="K18" s="11">
        <f>('原始行情'!E216+'原始行情'!F216)/'原始行情'!E204-1</f>
        <v>0.008792934249264084</v>
      </c>
      <c r="L18" s="11">
        <f>('原始行情'!E217+'原始行情'!F217)/'原始行情'!E205-1</f>
        <v>0.009733700642791554</v>
      </c>
      <c r="M18" s="11">
        <f>('原始行情'!E218+'原始行情'!F218)/'原始行情'!E206-1</f>
        <v>0.017412250516173566</v>
      </c>
      <c r="N18" s="11">
        <f>'原始行情'!G207/'原始行情'!G195-1</f>
        <v>0.03126605794695436</v>
      </c>
      <c r="O18" s="11">
        <f>SUMPRODUCT(B18:M18,'参数设置'!$E$4:$E$15)</f>
        <v>0.043947961278318</v>
      </c>
      <c r="P18" s="13">
        <f>P17*(1+O18)</f>
        <v>1.1274189682033946</v>
      </c>
      <c r="Q18" s="13">
        <f>Q17*(1+N18)</f>
        <v>1.0435999999999999</v>
      </c>
      <c r="R18" s="11">
        <f>P18/MAX($P$2:P18)-1</f>
        <v>-0.0729708813359412</v>
      </c>
    </row>
    <row r="19" spans="1:18" x14ac:dyDescent="0.25">
      <c r="A19" s="3">
        <v>45869</v>
      </c>
      <c r="B19" s="11">
        <f>('原始行情'!E219+'原始行情'!F219)/'原始行情'!E207-1</f>
        <v>0.05340599455040862</v>
      </c>
      <c r="C19" s="11">
        <f>('原始行情'!E220+'原始行情'!F220)/'原始行情'!E208-1</f>
        <v>0.05884975479268828</v>
      </c>
      <c r="D19" s="11">
        <f>('原始行情'!E221+'原始行情'!F221)/'原始行情'!E209-1</f>
        <v>0.05212211466865235</v>
      </c>
      <c r="E19" s="11">
        <f>('原始行情'!E222+'原始行情'!F222)/'原始行情'!E210-1</f>
        <v>0.040188383045525855</v>
      </c>
      <c r="F19" s="11">
        <f>('原始行情'!E223+'原始行情'!F223)/'原始行情'!E211-1</f>
        <v>0.02772913018096923</v>
      </c>
      <c r="G19" s="11">
        <f>('原始行情'!E224+'原始行情'!F224)/'原始行情'!E212-1</f>
        <v>0.03044912458766813</v>
      </c>
      <c r="H19" s="11">
        <f>('原始行情'!E225+'原始行情'!F225)/'原始行情'!E213-1</f>
        <v>0.019262009747041065</v>
      </c>
      <c r="I19" s="11">
        <f>('原始行情'!E226+'原始行情'!F226)/'原始行情'!E214-1</f>
        <v>0.03710691823899359</v>
      </c>
      <c r="J19" s="11">
        <f>('原始行情'!E227+'原始行情'!F227)/'原始行情'!E215-1</f>
        <v>0.04645785158713478</v>
      </c>
      <c r="K19" s="11">
        <f>('原始行情'!E228+'原始行情'!F228)/'原始行情'!E216-1</f>
        <v>0.051552431165788004</v>
      </c>
      <c r="L19" s="11">
        <f>('原始行情'!E229+'原始行情'!F229)/'原始行情'!E217-1</f>
        <v>0.04728002920773999</v>
      </c>
      <c r="M19" s="11">
        <f>('原始行情'!E230+'原始行情'!F230)/'原始行情'!E218-1</f>
        <v>0.03954514596062464</v>
      </c>
      <c r="N19" s="11">
        <f>'原始行情'!G219/'原始行情'!G207-1</f>
        <v>0.03351858949789199</v>
      </c>
      <c r="O19" s="11">
        <f>SUMPRODUCT(B19:M19,'参数设置'!$E$4:$E$15)</f>
        <v>0.04226941513310616</v>
      </c>
      <c r="P19" s="13">
        <f>P18*(1+O19)</f>
        <v>1.1750743085993223</v>
      </c>
      <c r="Q19" s="13">
        <f>Q18*(1+N19)</f>
        <v>1.0785799999999999</v>
      </c>
      <c r="R19" s="11">
        <f>P19/MAX($P$2:P19)-1</f>
        <v>-0.033785902678652335</v>
      </c>
    </row>
    <row r="20" spans="1:18" x14ac:dyDescent="0.25">
      <c r="A20" s="3">
        <v>45900</v>
      </c>
      <c r="B20" s="11">
        <f>('原始行情'!E231+'原始行情'!F231)/'原始行情'!E219-1</f>
        <v>0.04500775995861361</v>
      </c>
      <c r="C20" s="11">
        <f>('原始行情'!E232+'原始行情'!F232)/'原始行情'!E220-1</f>
        <v>0.027789473684210586</v>
      </c>
      <c r="D20" s="11">
        <f>('原始行情'!E233+'原始行情'!F233)/'原始行情'!E221-1</f>
        <v>0.013446567586695046</v>
      </c>
      <c r="E20" s="11">
        <f>('原始行情'!E234+'原始行情'!F234)/'原始行情'!E222-1</f>
        <v>0.02263809236341685</v>
      </c>
      <c r="F20" s="11">
        <f>('原始行情'!E235+'原始行情'!F235)/'原始行情'!E223-1</f>
        <v>0.04288554387957966</v>
      </c>
      <c r="G20" s="11">
        <f>('原始行情'!E236+'原始行情'!F236)/'原始行情'!E224-1</f>
        <v>0.0554050726422064</v>
      </c>
      <c r="H20" s="11">
        <f>('原始行情'!E237+'原始行情'!F237)/'原始行情'!E225-1</f>
        <v>0.024590163934426146</v>
      </c>
      <c r="I20" s="11">
        <f>('原始行情'!E238+'原始行情'!F238)/'原始行情'!E226-1</f>
        <v>-0.0016171417020416357</v>
      </c>
      <c r="J20" s="11">
        <f>('原始行情'!E239+'原始行情'!F239)/'原始行情'!E227-1</f>
        <v>-0.013057452792285984</v>
      </c>
      <c r="K20" s="11">
        <f>('原始行情'!E240+'原始行情'!F240)/'原始行情'!E228-1</f>
        <v>0.011142061281337101</v>
      </c>
      <c r="L20" s="11">
        <f>('原始行情'!E241+'原始行情'!F241)/'原始行情'!E229-1</f>
        <v>0.04566846784033474</v>
      </c>
      <c r="M20" s="11">
        <f>('原始行情'!E242+'原始行情'!F242)/'原始行情'!E230-1</f>
        <v>0.0605714285714285</v>
      </c>
      <c r="N20" s="11">
        <f>'原始行情'!G231/'原始行情'!G219-1</f>
        <v>0.02173227762428387</v>
      </c>
      <c r="O20" s="11">
        <f>SUMPRODUCT(B20:M20,'参数设置'!$E$4:$E$15)</f>
        <v>0.0276081557207723</v>
      </c>
      <c r="P20" s="13">
        <f>P19*(1+O20)</f>
        <v>1.2075159430946112</v>
      </c>
      <c r="Q20" s="13">
        <f>Q19*(1+N20)</f>
        <v>1.10202</v>
      </c>
      <c r="R20" s="11">
        <f>P20/MAX($P$2:P20)-1</f>
        <v>-0.007110513420199194</v>
      </c>
    </row>
    <row r="21" spans="1:18" x14ac:dyDescent="0.25">
      <c r="A21" s="3">
        <v>45930</v>
      </c>
      <c r="B21" s="11">
        <f>('原始行情'!E243+'原始行情'!F243)/'原始行情'!E231-1</f>
        <v>0.05297029702970302</v>
      </c>
      <c r="C21" s="11">
        <f>('原始行情'!E244+'原始行情'!F244)/'原始行情'!E232-1</f>
        <v>0.03277345350266292</v>
      </c>
      <c r="D21" s="11">
        <f>('原始行情'!E245+'原始行情'!F245)/'原始行情'!E233-1</f>
        <v>0.05307262569832405</v>
      </c>
      <c r="E21" s="11">
        <f>('原始行情'!E246+'原始行情'!F246)/'原始行情'!E234-1</f>
        <v>0.08618654073199505</v>
      </c>
      <c r="F21" s="11">
        <f>('原始行情'!E247+'原始行情'!F247)/'原始行情'!E235-1</f>
        <v>0.07135076252723316</v>
      </c>
      <c r="G21" s="11">
        <f>('原始行情'!E248+'原始行情'!F248)/'原始行情'!E236-1</f>
        <v>0.039897340177321494</v>
      </c>
      <c r="H21" s="11">
        <f>('原始行情'!E249+'原始行情'!F249)/'原始行情'!E237-1</f>
        <v>0.01333333333333342</v>
      </c>
      <c r="I21" s="11">
        <f>('原始行情'!E250+'原始行情'!F250)/'原始行情'!E238-1</f>
        <v>0.05365458594857264</v>
      </c>
      <c r="J21" s="11">
        <f>('原始行情'!E251+'原始行情'!F251)/'原始行情'!E239-1</f>
        <v>0.05923061266028906</v>
      </c>
      <c r="K21" s="11">
        <f>('原始行情'!E252+'原始行情'!F252)/'原始行情'!E240-1</f>
        <v>0.03783287419651038</v>
      </c>
      <c r="L21" s="11">
        <f>('原始行情'!E253+'原始行情'!F253)/'原始行情'!E241-1</f>
        <v>0.04517419569928327</v>
      </c>
      <c r="M21" s="11">
        <f>('原始行情'!E254+'原始行情'!F254)/'原始行情'!E242-1</f>
        <v>0.0905172413793105</v>
      </c>
      <c r="N21" s="11">
        <f>'原始行情'!G243/'原始行情'!G231-1</f>
        <v>0.04907351953685035</v>
      </c>
      <c r="O21" s="11">
        <f>SUMPRODUCT(B21:M21,'参数设置'!$E$4:$E$15)</f>
        <v>0.05249246842142453</v>
      </c>
      <c r="P21" s="13">
        <f>P20*(1+O21)</f>
        <v>1.2709014356058717</v>
      </c>
      <c r="Q21" s="13">
        <f>Q20*(1+N21)</f>
        <v>1.1561</v>
      </c>
      <c r="R21" s="11">
        <f>P21/MAX($P$2:P21)-1</f>
        <v>0.0</v>
      </c>
    </row>
    <row r="22" spans="1:18" x14ac:dyDescent="0.25">
      <c r="A22" s="3">
        <v>45961</v>
      </c>
      <c r="B22" s="11">
        <f>('原始行情'!E255+'原始行情'!F255)/'原始行情'!E243-1</f>
        <v>-0.005171603196991059</v>
      </c>
      <c r="C22" s="11">
        <f>('原始行情'!E256+'原始行情'!F256)/'原始行情'!E244-1</f>
        <v>-0.010313367711225818</v>
      </c>
      <c r="D22" s="11">
        <f>('原始行情'!E257+'原始行情'!F257)/'原始行情'!E245-1</f>
        <v>0.023872679045092715</v>
      </c>
      <c r="E22" s="11">
        <f>('原始行情'!E258+'原始行情'!F258)/'原始行情'!E246-1</f>
        <v>-0.001630434782608603</v>
      </c>
      <c r="F22" s="11">
        <f>('原始行情'!E259+'原始行情'!F259)/'原始行情'!E247-1</f>
        <v>-0.04016268429079828</v>
      </c>
      <c r="G22" s="11">
        <f>('原始行情'!E260+'原始行情'!F260)/'原始行情'!E248-1</f>
        <v>-0.00830154812654249</v>
      </c>
      <c r="H22" s="11">
        <f>('原始行情'!E261+'原始行情'!F261)/'原始行情'!E249-1</f>
        <v>0.005921052631578938</v>
      </c>
      <c r="I22" s="11">
        <f>('原始行情'!E262+'原始行情'!F262)/'原始行情'!E250-1</f>
        <v>-0.031129900076863892</v>
      </c>
      <c r="J22" s="11">
        <f>('原始行情'!E263+'原始行情'!F263)/'原始行情'!E251-1</f>
        <v>-0.01633358954650277</v>
      </c>
      <c r="K22" s="11">
        <f>('原始行情'!E264+'原始行情'!F264)/'原始行情'!E252-1</f>
        <v>0.022119978764820303</v>
      </c>
      <c r="L22" s="11">
        <f>('原始行情'!E265+'原始行情'!F265)/'原始行情'!E253-1</f>
        <v>-0.0043062200956938135</v>
      </c>
      <c r="M22" s="11">
        <f>('原始行情'!E266+'原始行情'!F266)/'原始行情'!E254-1</f>
        <v>-0.014539808018068867</v>
      </c>
      <c r="N22" s="11">
        <f>'原始行情'!G255/'原始行情'!G243-1</f>
        <v>-0.008459475823890616</v>
      </c>
      <c r="O22" s="11">
        <f>SUMPRODUCT(B22:M22,'参数设置'!$E$4:$E$15)</f>
        <v>-0.006462350335248799</v>
      </c>
      <c r="P22" s="13">
        <f>P21*(1+O22)</f>
        <v>1.262688425287416</v>
      </c>
      <c r="Q22" s="13">
        <f>Q21*(1+N22)</f>
        <v>1.14632</v>
      </c>
      <c r="R22" s="11">
        <f>P22/MAX($P$2:P22)-1</f>
        <v>-0.006462350335248668</v>
      </c>
    </row>
    <row r="23" spans="1:18" x14ac:dyDescent="0.25">
      <c r="A23" s="3">
        <v>45991</v>
      </c>
      <c r="B23" s="11">
        <f>('原始行情'!E267+'原始行情'!F267)/'原始行情'!E255-1</f>
        <v>-0.018431001890359178</v>
      </c>
      <c r="C23" s="11">
        <f>('原始行情'!E268+'原始行情'!F268)/'原始行情'!E256-1</f>
        <v>0.010420841683366877</v>
      </c>
      <c r="D23" s="11">
        <f>('原始行情'!E269+'原始行情'!F269)/'原始行情'!E257-1</f>
        <v>0.007124352331606243</v>
      </c>
      <c r="E23" s="11">
        <f>('原始行情'!E270+'原始行情'!F270)/'原始行情'!E258-1</f>
        <v>-0.03565596080566147</v>
      </c>
      <c r="F23" s="11">
        <f>('原始行情'!E271+'原始行情'!F271)/'原始行情'!E259-1</f>
        <v>-0.0010593220338982468</v>
      </c>
      <c r="G23" s="11">
        <f>('原始行情'!E272+'原始行情'!F272)/'原始行情'!E260-1</f>
        <v>-0.01628959276018116</v>
      </c>
      <c r="H23" s="11">
        <f>('原始行情'!E273+'原始行情'!F273)/'原始行情'!E261-1</f>
        <v>-0.03161107477654235</v>
      </c>
      <c r="I23" s="11">
        <f>('原始行情'!E274+'原始行情'!F274)/'原始行情'!E262-1</f>
        <v>0.018445061483538305</v>
      </c>
      <c r="J23" s="11">
        <f>('原始行情'!E275+'原始行情'!F275)/'原始行情'!E263-1</f>
        <v>-0.009962883375659315</v>
      </c>
      <c r="K23" s="11">
        <f>('原始行情'!E276+'原始行情'!F276)/'原始行情'!E264-1</f>
        <v>-0.012292243767313082</v>
      </c>
      <c r="L23" s="11">
        <f>('原始行情'!E277+'原始行情'!F277)/'原始行情'!E265-1</f>
        <v>0.031234983181162912</v>
      </c>
      <c r="M23" s="11">
        <f>('原始行情'!E278+'原始行情'!F278)/'原始行情'!E266-1</f>
        <v>-0.009024495058014503</v>
      </c>
      <c r="N23" s="11">
        <f>'原始行情'!G267/'原始行情'!G255-1</f>
        <v>-0.008461860562495649</v>
      </c>
      <c r="O23" s="11">
        <f>SUMPRODUCT(B23:M23,'参数设置'!$E$4:$E$15)</f>
        <v>-0.005440672089627106</v>
      </c>
      <c r="P23" s="13">
        <f>P22*(1+O23)</f>
        <v>1.2558185516140596</v>
      </c>
      <c r="Q23" s="13">
        <f>Q22*(1+N23)</f>
        <v>1.13662</v>
      </c>
      <c r="R23" s="11">
        <f>P23/MAX($P$2:P23)-1</f>
        <v>-0.011867862895773351</v>
      </c>
    </row>
    <row r="24" spans="1:18" x14ac:dyDescent="0.25">
      <c r="A24" s="3">
        <v>46022</v>
      </c>
      <c r="B24" s="11">
        <f>('原始行情'!E279+'原始行情'!F279)/'原始行情'!E267-1</f>
        <v>-0.012999518536350507</v>
      </c>
      <c r="C24" s="11">
        <f>('原始行情'!E280+'原始行情'!F280)/'原始行情'!E268-1</f>
        <v>0.029750099166997224</v>
      </c>
      <c r="D24" s="11">
        <f>('原始行情'!E281+'原始行情'!F281)/'原始行情'!E269-1</f>
        <v>-0.019935691318327953</v>
      </c>
      <c r="E24" s="11">
        <f>('原始行情'!E282+'原始行情'!F282)/'原始行情'!E270-1</f>
        <v>0.009031893875246944</v>
      </c>
      <c r="F24" s="11">
        <f>('原始行情'!E283+'原始行情'!F283)/'原始行情'!E271-1</f>
        <v>-0.0015906680805939377</v>
      </c>
      <c r="G24" s="11">
        <f>('原始行情'!E284+'原始行情'!F284)/'原始行情'!E272-1</f>
        <v>-0.015869365225390952</v>
      </c>
      <c r="H24" s="11">
        <f>('原始行情'!E285+'原始行情'!F285)/'原始行情'!E273-1</f>
        <v>0.027239981990094586</v>
      </c>
      <c r="I24" s="11">
        <f>('原始行情'!E286+'原始行情'!F286)/'原始行情'!E274-1</f>
        <v>-0.012852969814995174</v>
      </c>
      <c r="J24" s="11">
        <f>('原始行情'!E287+'原始行情'!F287)/'原始行情'!E275-1</f>
        <v>0.032754538279400336</v>
      </c>
      <c r="K24" s="11">
        <f>('原始行情'!E288+'原始行情'!F288)/'原始行情'!E276-1</f>
        <v>0.012094653812445344</v>
      </c>
      <c r="L24" s="11">
        <f>('原始行情'!E289+'原始行情'!F289)/'原始行情'!E277-1</f>
        <v>0.014756135445790575</v>
      </c>
      <c r="M24" s="11">
        <f>('原始行情'!E290+'原始行情'!F290)/'原始行情'!E278-1</f>
        <v>0.037583116507660996</v>
      </c>
      <c r="N24" s="11">
        <f>'原始行情'!G279/'原始行情'!G267-1</f>
        <v>0.003703964385634695</v>
      </c>
      <c r="O24" s="11">
        <f>SUMPRODUCT(B24:M24,'参数设置'!$E$4:$E$15)</f>
        <v>0.007554182370882454</v>
      </c>
      <c r="P24" s="13">
        <f>P23*(1+O24)</f>
        <v>1.2653052339776898</v>
      </c>
      <c r="Q24" s="13">
        <f>Q23*(1+N24)</f>
        <v>1.14083</v>
      </c>
      <c r="R24" s="11">
        <f>P24/MAX($P$2:P24)-1</f>
        <v>-0.004403332525558135</v>
      </c>
    </row>
  </sheetData>
  <conditionalFormatting sqref="R2:R24">
    <cfRule type="dataBar" priority="1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negativeBarBorderColorSameAsPositive="0">
              <x14:cfvo type="autoMin"/>
              <x14:cfvo type="autoMax"/>
              <x14:borderColor rgb="FFC00000"/>
              <x14:negativeFillColor rgb="FFC00000"/>
              <x14:negativeBorderColor rgb="FFFF0000"/>
              <x14:axisColor rgb="FF000000"/>
            </x14:dataBar>
          </x14:cfRule>
          <xm:sqref>R2:R24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M40"/>
  <sheetViews>
    <sheetView showGridLines="0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15.7109375" customWidth="1"/>
    <col min="2" max="3" width="12.7109375" customWidth="1"/>
    <col min="4" max="5" width="13.7109375" customWidth="1"/>
    <col min="6" max="7" width="16.7109375" customWidth="1"/>
    <col min="8" max="9" width="3.7109375" customWidth="1"/>
    <col min="10" max="12" width="15.7109375" customWidth="1"/>
    <col min="13" max="13" width="13.7109375" customWidth="1"/>
  </cols>
  <sheetData>
    <row r="1" spans="1:13">
      <c r="A1" s="1" t="s">
        <v>91</v>
      </c>
      <c r="B1" s="1"/>
      <c r="C1" s="1"/>
      <c r="D1" s="1"/>
      <c r="E1" s="1"/>
      <c r="F1" s="1"/>
      <c r="G1" s="1"/>
    </row>
    <row r="2" spans="1:13">
      <c r="A2" s="12" t="s">
        <v>92</v>
      </c>
      <c r="B2" s="12"/>
      <c r="C2" s="12"/>
      <c r="D2" s="12"/>
      <c r="E2" s="12"/>
      <c r="F2" s="12"/>
      <c r="G2" s="12"/>
    </row>
    <row r="3" spans="1:13">
      <c r="J3" s="2" t="s">
        <v>93</v>
      </c>
      <c r="K3" s="2" t="s">
        <v>97</v>
      </c>
      <c r="L3" s="2" t="s">
        <v>98</v>
      </c>
      <c r="M3" s="2" t="s">
        <v>99</v>
      </c>
    </row>
    <row r="4" spans="1:13">
      <c r="A4" s="2" t="s">
        <v>93</v>
      </c>
      <c r="B4" s="2" t="s">
        <v>2</v>
      </c>
      <c r="C4" s="2" t="s">
        <v>4</v>
      </c>
      <c r="D4" s="2" t="s">
        <v>55</v>
      </c>
      <c r="E4" s="2" t="s">
        <v>94</v>
      </c>
      <c r="F4" s="2" t="s">
        <v>95</v>
      </c>
      <c r="G4" s="2" t="s">
        <v>96</v>
      </c>
      <c r="J4" s="4" t="s">
        <v>58</v>
      </c>
      <c r="K4" s="14">
        <f>SUM(G5:G16)</f>
        <v>-523000.0</v>
      </c>
      <c r="L4" s="11">
        <f>K4/'参数设置'!$B$3</f>
        <v>-0.0523</v>
      </c>
      <c r="M4" s="4" t="str">
        <f>IF(L4&lt;=-15%,"高风险",IF(L4&lt;0,"中风险","正向情景"))</f>
        <v>中风险</v>
      </c>
    </row>
    <row r="5" spans="1:13">
      <c r="A5" s="4" t="s">
        <v>58</v>
      </c>
      <c r="B5" s="4" t="s">
        <v>8</v>
      </c>
      <c r="C5" s="4" t="s">
        <v>10</v>
      </c>
      <c r="D5" s="11">
        <f>'参数设置'!E4</f>
        <v>0.1</v>
      </c>
      <c r="E5" s="11">
        <f>'参数设置'!B22</f>
        <v>-0.08</v>
      </c>
      <c r="F5" s="14">
        <f>D5*'参数设置'!$B$3</f>
        <v>1000000.0</v>
      </c>
      <c r="G5" s="14">
        <f>E5*F5</f>
        <v>-80000.0</v>
      </c>
      <c r="J5" s="4" t="s">
        <v>59</v>
      </c>
      <c r="K5" s="14">
        <f>SUM(G17:G28)</f>
        <v>-1676000.0</v>
      </c>
      <c r="L5" s="11">
        <f>K5/'参数设置'!$B$3</f>
        <v>-0.1676</v>
      </c>
      <c r="M5" s="4" t="str">
        <f>IF(L5&lt;=-15%,"高风险",IF(L5&lt;0,"中风险","正向情景"))</f>
        <v>高风险</v>
      </c>
    </row>
    <row r="6" spans="1:13">
      <c r="A6" s="4" t="s">
        <v>58</v>
      </c>
      <c r="B6" s="4" t="s">
        <v>11</v>
      </c>
      <c r="C6" s="4" t="s">
        <v>10</v>
      </c>
      <c r="D6" s="11">
        <f>'参数设置'!E5</f>
        <v>0.09</v>
      </c>
      <c r="E6" s="11">
        <f>'参数设置'!B22</f>
        <v>-0.08</v>
      </c>
      <c r="F6" s="14">
        <f>D6*'参数设置'!$B$3</f>
        <v>900000.0</v>
      </c>
      <c r="G6" s="14">
        <f>E6*F6</f>
        <v>-72000.0</v>
      </c>
      <c r="J6" s="4" t="s">
        <v>60</v>
      </c>
      <c r="K6" s="14">
        <f>SUM(G29:G40)</f>
        <v>986000.0</v>
      </c>
      <c r="L6" s="11">
        <f>K6/'参数设置'!$B$3</f>
        <v>0.0986</v>
      </c>
      <c r="M6" s="4" t="str">
        <f>IF(L6&lt;=-15%,"高风险",IF(L6&lt;0,"中风险","正向情景"))</f>
        <v>正向情景</v>
      </c>
    </row>
    <row r="7" spans="1:13">
      <c r="A7" s="4" t="s">
        <v>58</v>
      </c>
      <c r="B7" s="4" t="s">
        <v>13</v>
      </c>
      <c r="C7" s="4" t="s">
        <v>15</v>
      </c>
      <c r="D7" s="11">
        <f>'参数设置'!E6</f>
        <v>0.1</v>
      </c>
      <c r="E7" s="11">
        <f>'参数设置'!B23</f>
        <v>-0.05</v>
      </c>
      <c r="F7" s="14">
        <f>D7*'参数设置'!$B$3</f>
        <v>1000000.0</v>
      </c>
      <c r="G7" s="14">
        <f>E7*F7</f>
        <v>-50000.0</v>
      </c>
    </row>
    <row r="8" spans="1:13">
      <c r="A8" s="4" t="s">
        <v>58</v>
      </c>
      <c r="B8" s="4" t="s">
        <v>16</v>
      </c>
      <c r="C8" s="4" t="s">
        <v>15</v>
      </c>
      <c r="D8" s="11">
        <f>'参数设置'!E7</f>
        <v>0.08</v>
      </c>
      <c r="E8" s="11">
        <f>'参数设置'!B23</f>
        <v>-0.05</v>
      </c>
      <c r="F8" s="14">
        <f>D8*'参数设置'!$B$3</f>
        <v>800000.0</v>
      </c>
      <c r="G8" s="14">
        <f>E8*F8</f>
        <v>-40000.0</v>
      </c>
    </row>
    <row r="9" spans="1:13">
      <c r="A9" s="4" t="s">
        <v>58</v>
      </c>
      <c r="B9" s="4" t="s">
        <v>18</v>
      </c>
      <c r="C9" s="4" t="s">
        <v>20</v>
      </c>
      <c r="D9" s="11">
        <f>'参数设置'!E8</f>
        <v>0.09</v>
      </c>
      <c r="E9" s="11">
        <f>'参数设置'!B24</f>
        <v>-0.03</v>
      </c>
      <c r="F9" s="14">
        <f>D9*'参数设置'!$B$3</f>
        <v>900000.0</v>
      </c>
      <c r="G9" s="14">
        <f>E9*F9</f>
        <v>-27000.0</v>
      </c>
    </row>
    <row r="10" spans="1:13">
      <c r="A10" s="4" t="s">
        <v>58</v>
      </c>
      <c r="B10" s="4" t="s">
        <v>21</v>
      </c>
      <c r="C10" s="4" t="s">
        <v>20</v>
      </c>
      <c r="D10" s="11">
        <f>'参数设置'!E9</f>
        <v>0.07</v>
      </c>
      <c r="E10" s="11">
        <f>'参数设置'!B24</f>
        <v>-0.03</v>
      </c>
      <c r="F10" s="14">
        <f>D10*'参数设置'!$B$3</f>
        <v>700000.0000000001</v>
      </c>
      <c r="G10" s="14">
        <f>E10*F10</f>
        <v>-21000.000000000004</v>
      </c>
    </row>
    <row r="11" spans="1:13">
      <c r="A11" s="4" t="s">
        <v>58</v>
      </c>
      <c r="B11" s="4" t="s">
        <v>23</v>
      </c>
      <c r="C11" s="4" t="s">
        <v>25</v>
      </c>
      <c r="D11" s="11">
        <f>'参数设置'!E10</f>
        <v>0.09</v>
      </c>
      <c r="E11" s="11">
        <f>'参数设置'!B25</f>
        <v>-0.04</v>
      </c>
      <c r="F11" s="14">
        <f>D11*'参数设置'!$B$3</f>
        <v>900000.0</v>
      </c>
      <c r="G11" s="14">
        <f>E11*F11</f>
        <v>-36000.0</v>
      </c>
    </row>
    <row r="12" spans="1:13">
      <c r="A12" s="4" t="s">
        <v>58</v>
      </c>
      <c r="B12" s="4" t="s">
        <v>26</v>
      </c>
      <c r="C12" s="4" t="s">
        <v>25</v>
      </c>
      <c r="D12" s="11">
        <f>'参数设置'!E11</f>
        <v>0.08</v>
      </c>
      <c r="E12" s="11">
        <f>'参数设置'!B25</f>
        <v>-0.04</v>
      </c>
      <c r="F12" s="14">
        <f>D12*'参数设置'!$B$3</f>
        <v>800000.0</v>
      </c>
      <c r="G12" s="14">
        <f>E12*F12</f>
        <v>-32000.0</v>
      </c>
    </row>
    <row r="13" spans="1:13">
      <c r="A13" s="4" t="s">
        <v>58</v>
      </c>
      <c r="B13" s="4" t="s">
        <v>28</v>
      </c>
      <c r="C13" s="4" t="s">
        <v>30</v>
      </c>
      <c r="D13" s="11">
        <f>'参数设置'!E12</f>
        <v>0.08</v>
      </c>
      <c r="E13" s="11">
        <f>'参数设置'!B26</f>
        <v>-0.06</v>
      </c>
      <c r="F13" s="14">
        <f>D13*'参数设置'!$B$3</f>
        <v>800000.0</v>
      </c>
      <c r="G13" s="14">
        <f>E13*F13</f>
        <v>-48000.0</v>
      </c>
    </row>
    <row r="14" spans="1:13">
      <c r="A14" s="4" t="s">
        <v>58</v>
      </c>
      <c r="B14" s="4" t="s">
        <v>31</v>
      </c>
      <c r="C14" s="4" t="s">
        <v>30</v>
      </c>
      <c r="D14" s="11">
        <f>'参数设置'!E13</f>
        <v>0.07</v>
      </c>
      <c r="E14" s="11">
        <f>'参数设置'!B26</f>
        <v>-0.06</v>
      </c>
      <c r="F14" s="14">
        <f>D14*'参数设置'!$B$3</f>
        <v>700000.0000000001</v>
      </c>
      <c r="G14" s="14">
        <f>E14*F14</f>
        <v>-42000.00000000001</v>
      </c>
    </row>
    <row r="15" spans="1:13">
      <c r="A15" s="4" t="s">
        <v>58</v>
      </c>
      <c r="B15" s="4" t="s">
        <v>33</v>
      </c>
      <c r="C15" s="4" t="s">
        <v>35</v>
      </c>
      <c r="D15" s="11">
        <f>'参数设置'!E14</f>
        <v>0.08</v>
      </c>
      <c r="E15" s="11">
        <f>'参数设置'!B27</f>
        <v>-0.05</v>
      </c>
      <c r="F15" s="14">
        <f>D15*'参数设置'!$B$3</f>
        <v>800000.0</v>
      </c>
      <c r="G15" s="14">
        <f>E15*F15</f>
        <v>-40000.0</v>
      </c>
    </row>
    <row r="16" spans="1:13">
      <c r="A16" s="4" t="s">
        <v>58</v>
      </c>
      <c r="B16" s="4" t="s">
        <v>36</v>
      </c>
      <c r="C16" s="4" t="s">
        <v>35</v>
      </c>
      <c r="D16" s="11">
        <f>'参数设置'!E15</f>
        <v>0.07</v>
      </c>
      <c r="E16" s="11">
        <f>'参数设置'!B27</f>
        <v>-0.05</v>
      </c>
      <c r="F16" s="14">
        <f>D16*'参数设置'!$B$3</f>
        <v>700000.0000000001</v>
      </c>
      <c r="G16" s="14">
        <f>E16*F16</f>
        <v>-35000.00000000001</v>
      </c>
    </row>
    <row r="17" spans="1:7">
      <c r="A17" s="4" t="s">
        <v>59</v>
      </c>
      <c r="B17" s="4" t="s">
        <v>8</v>
      </c>
      <c r="C17" s="4" t="s">
        <v>10</v>
      </c>
      <c r="D17" s="11">
        <f>'参数设置'!E4</f>
        <v>0.1</v>
      </c>
      <c r="E17" s="11">
        <f>'参数设置'!C22</f>
        <v>-0.18</v>
      </c>
      <c r="F17" s="14">
        <f>D17*'参数设置'!$B$3</f>
        <v>1000000.0</v>
      </c>
      <c r="G17" s="14">
        <f>E17*F17</f>
        <v>-180000.0</v>
      </c>
    </row>
    <row r="18" spans="1:7">
      <c r="A18" s="4" t="s">
        <v>59</v>
      </c>
      <c r="B18" s="4" t="s">
        <v>11</v>
      </c>
      <c r="C18" s="4" t="s">
        <v>10</v>
      </c>
      <c r="D18" s="11">
        <f>'参数设置'!E5</f>
        <v>0.09</v>
      </c>
      <c r="E18" s="11">
        <f>'参数设置'!C22</f>
        <v>-0.18</v>
      </c>
      <c r="F18" s="14">
        <f>D18*'参数设置'!$B$3</f>
        <v>900000.0</v>
      </c>
      <c r="G18" s="14">
        <f>E18*F18</f>
        <v>-162000.0</v>
      </c>
    </row>
    <row r="19" spans="1:7">
      <c r="A19" s="4" t="s">
        <v>59</v>
      </c>
      <c r="B19" s="4" t="s">
        <v>13</v>
      </c>
      <c r="C19" s="4" t="s">
        <v>15</v>
      </c>
      <c r="D19" s="11">
        <f>'参数设置'!E6</f>
        <v>0.1</v>
      </c>
      <c r="E19" s="11">
        <f>'参数设置'!C23</f>
        <v>-0.22</v>
      </c>
      <c r="F19" s="14">
        <f>D19*'参数设置'!$B$3</f>
        <v>1000000.0</v>
      </c>
      <c r="G19" s="14">
        <f>E19*F19</f>
        <v>-220000.0</v>
      </c>
    </row>
    <row r="20" spans="1:7">
      <c r="A20" s="4" t="s">
        <v>59</v>
      </c>
      <c r="B20" s="4" t="s">
        <v>16</v>
      </c>
      <c r="C20" s="4" t="s">
        <v>15</v>
      </c>
      <c r="D20" s="11">
        <f>'参数设置'!E7</f>
        <v>0.08</v>
      </c>
      <c r="E20" s="11">
        <f>'参数设置'!C23</f>
        <v>-0.22</v>
      </c>
      <c r="F20" s="14">
        <f>D20*'参数设置'!$B$3</f>
        <v>800000.0</v>
      </c>
      <c r="G20" s="14">
        <f>E20*F20</f>
        <v>-176000.0</v>
      </c>
    </row>
    <row r="21" spans="1:7">
      <c r="A21" s="4" t="s">
        <v>59</v>
      </c>
      <c r="B21" s="4" t="s">
        <v>18</v>
      </c>
      <c r="C21" s="4" t="s">
        <v>20</v>
      </c>
      <c r="D21" s="11">
        <f>'参数设置'!E8</f>
        <v>0.09</v>
      </c>
      <c r="E21" s="11">
        <f>'参数设置'!C24</f>
        <v>-0.1</v>
      </c>
      <c r="F21" s="14">
        <f>D21*'参数设置'!$B$3</f>
        <v>900000.0</v>
      </c>
      <c r="G21" s="14">
        <f>E21*F21</f>
        <v>-90000.0</v>
      </c>
    </row>
    <row r="22" spans="1:7">
      <c r="A22" s="4" t="s">
        <v>59</v>
      </c>
      <c r="B22" s="4" t="s">
        <v>21</v>
      </c>
      <c r="C22" s="4" t="s">
        <v>20</v>
      </c>
      <c r="D22" s="11">
        <f>'参数设置'!E9</f>
        <v>0.07</v>
      </c>
      <c r="E22" s="11">
        <f>'参数设置'!C24</f>
        <v>-0.1</v>
      </c>
      <c r="F22" s="14">
        <f>D22*'参数设置'!$B$3</f>
        <v>700000.0000000001</v>
      </c>
      <c r="G22" s="14">
        <f>E22*F22</f>
        <v>-70000.00000000001</v>
      </c>
    </row>
    <row r="23" spans="1:7">
      <c r="A23" s="4" t="s">
        <v>59</v>
      </c>
      <c r="B23" s="4" t="s">
        <v>23</v>
      </c>
      <c r="C23" s="4" t="s">
        <v>25</v>
      </c>
      <c r="D23" s="11">
        <f>'参数设置'!E10</f>
        <v>0.09</v>
      </c>
      <c r="E23" s="11">
        <f>'参数设置'!C25</f>
        <v>-0.14</v>
      </c>
      <c r="F23" s="14">
        <f>D23*'参数设置'!$B$3</f>
        <v>900000.0</v>
      </c>
      <c r="G23" s="14">
        <f>E23*F23</f>
        <v>-126000.00000000001</v>
      </c>
    </row>
    <row r="24" spans="1:7">
      <c r="A24" s="4" t="s">
        <v>59</v>
      </c>
      <c r="B24" s="4" t="s">
        <v>26</v>
      </c>
      <c r="C24" s="4" t="s">
        <v>25</v>
      </c>
      <c r="D24" s="11">
        <f>'参数设置'!E11</f>
        <v>0.08</v>
      </c>
      <c r="E24" s="11">
        <f>'参数设置'!C25</f>
        <v>-0.14</v>
      </c>
      <c r="F24" s="14">
        <f>D24*'参数设置'!$B$3</f>
        <v>800000.0</v>
      </c>
      <c r="G24" s="14">
        <f>E24*F24</f>
        <v>-112000.00000000001</v>
      </c>
    </row>
    <row r="25" spans="1:7">
      <c r="A25" s="4" t="s">
        <v>59</v>
      </c>
      <c r="B25" s="4" t="s">
        <v>28</v>
      </c>
      <c r="C25" s="4" t="s">
        <v>30</v>
      </c>
      <c r="D25" s="11">
        <f>'参数设置'!E12</f>
        <v>0.08</v>
      </c>
      <c r="E25" s="11">
        <f>'参数设置'!C26</f>
        <v>-0.17</v>
      </c>
      <c r="F25" s="14">
        <f>D25*'参数设置'!$B$3</f>
        <v>800000.0</v>
      </c>
      <c r="G25" s="14">
        <f>E25*F25</f>
        <v>-136000.0</v>
      </c>
    </row>
    <row r="26" spans="1:7">
      <c r="A26" s="4" t="s">
        <v>59</v>
      </c>
      <c r="B26" s="4" t="s">
        <v>31</v>
      </c>
      <c r="C26" s="4" t="s">
        <v>30</v>
      </c>
      <c r="D26" s="11">
        <f>'参数设置'!E13</f>
        <v>0.07</v>
      </c>
      <c r="E26" s="11">
        <f>'参数设置'!C26</f>
        <v>-0.17</v>
      </c>
      <c r="F26" s="14">
        <f>D26*'参数设置'!$B$3</f>
        <v>700000.0000000001</v>
      </c>
      <c r="G26" s="14">
        <f>E26*F26</f>
        <v>-119000.00000000003</v>
      </c>
    </row>
    <row r="27" spans="1:7">
      <c r="A27" s="4" t="s">
        <v>59</v>
      </c>
      <c r="B27" s="4" t="s">
        <v>33</v>
      </c>
      <c r="C27" s="4" t="s">
        <v>35</v>
      </c>
      <c r="D27" s="11">
        <f>'参数设置'!E14</f>
        <v>0.08</v>
      </c>
      <c r="E27" s="11">
        <f>'参数设置'!C27</f>
        <v>-0.19</v>
      </c>
      <c r="F27" s="14">
        <f>D27*'参数设置'!$B$3</f>
        <v>800000.0</v>
      </c>
      <c r="G27" s="14">
        <f>E27*F27</f>
        <v>-152000.0</v>
      </c>
    </row>
    <row r="28" spans="1:7">
      <c r="A28" s="4" t="s">
        <v>59</v>
      </c>
      <c r="B28" s="4" t="s">
        <v>36</v>
      </c>
      <c r="C28" s="4" t="s">
        <v>35</v>
      </c>
      <c r="D28" s="11">
        <f>'参数设置'!E15</f>
        <v>0.07</v>
      </c>
      <c r="E28" s="11">
        <f>'参数设置'!C27</f>
        <v>-0.19</v>
      </c>
      <c r="F28" s="14">
        <f>D28*'参数设置'!$B$3</f>
        <v>700000.0000000001</v>
      </c>
      <c r="G28" s="14">
        <f>E28*F28</f>
        <v>-133000.00000000003</v>
      </c>
    </row>
    <row r="29" spans="1:7">
      <c r="A29" s="4" t="s">
        <v>60</v>
      </c>
      <c r="B29" s="4" t="s">
        <v>8</v>
      </c>
      <c r="C29" s="4" t="s">
        <v>10</v>
      </c>
      <c r="D29" s="11">
        <f>'参数设置'!E4</f>
        <v>0.1</v>
      </c>
      <c r="E29" s="11">
        <f>'参数设置'!D22</f>
        <v>0.16</v>
      </c>
      <c r="F29" s="14">
        <f>D29*'参数设置'!$B$3</f>
        <v>1000000.0</v>
      </c>
      <c r="G29" s="14">
        <f>E29*F29</f>
        <v>160000.0</v>
      </c>
    </row>
    <row r="30" spans="1:7">
      <c r="A30" s="4" t="s">
        <v>60</v>
      </c>
      <c r="B30" s="4" t="s">
        <v>11</v>
      </c>
      <c r="C30" s="4" t="s">
        <v>10</v>
      </c>
      <c r="D30" s="11">
        <f>'参数设置'!E5</f>
        <v>0.09</v>
      </c>
      <c r="E30" s="11">
        <f>'参数设置'!D22</f>
        <v>0.16</v>
      </c>
      <c r="F30" s="14">
        <f>D30*'参数设置'!$B$3</f>
        <v>900000.0</v>
      </c>
      <c r="G30" s="14">
        <f>E30*F30</f>
        <v>144000.0</v>
      </c>
    </row>
    <row r="31" spans="1:7">
      <c r="A31" s="4" t="s">
        <v>60</v>
      </c>
      <c r="B31" s="4" t="s">
        <v>13</v>
      </c>
      <c r="C31" s="4" t="s">
        <v>15</v>
      </c>
      <c r="D31" s="11">
        <f>'参数设置'!E6</f>
        <v>0.1</v>
      </c>
      <c r="E31" s="11">
        <f>'参数设置'!D23</f>
        <v>0.07</v>
      </c>
      <c r="F31" s="14">
        <f>D31*'参数设置'!$B$3</f>
        <v>1000000.0</v>
      </c>
      <c r="G31" s="14">
        <f>E31*F31</f>
        <v>70000.0</v>
      </c>
    </row>
    <row r="32" spans="1:7">
      <c r="A32" s="4" t="s">
        <v>60</v>
      </c>
      <c r="B32" s="4" t="s">
        <v>16</v>
      </c>
      <c r="C32" s="4" t="s">
        <v>15</v>
      </c>
      <c r="D32" s="11">
        <f>'参数设置'!E7</f>
        <v>0.08</v>
      </c>
      <c r="E32" s="11">
        <f>'参数设置'!D23</f>
        <v>0.07</v>
      </c>
      <c r="F32" s="14">
        <f>D32*'参数设置'!$B$3</f>
        <v>800000.0</v>
      </c>
      <c r="G32" s="14">
        <f>E32*F32</f>
        <v>56000.00000000001</v>
      </c>
    </row>
    <row r="33" spans="1:7">
      <c r="A33" s="4" t="s">
        <v>60</v>
      </c>
      <c r="B33" s="4" t="s">
        <v>18</v>
      </c>
      <c r="C33" s="4" t="s">
        <v>20</v>
      </c>
      <c r="D33" s="11">
        <f>'参数设置'!E8</f>
        <v>0.09</v>
      </c>
      <c r="E33" s="11">
        <f>'参数设置'!D24</f>
        <v>0.09</v>
      </c>
      <c r="F33" s="14">
        <f>D33*'参数设置'!$B$3</f>
        <v>900000.0</v>
      </c>
      <c r="G33" s="14">
        <f>E33*F33</f>
        <v>81000.0</v>
      </c>
    </row>
    <row r="34" spans="1:7">
      <c r="A34" s="4" t="s">
        <v>60</v>
      </c>
      <c r="B34" s="4" t="s">
        <v>21</v>
      </c>
      <c r="C34" s="4" t="s">
        <v>20</v>
      </c>
      <c r="D34" s="11">
        <f>'参数设置'!E9</f>
        <v>0.07</v>
      </c>
      <c r="E34" s="11">
        <f>'参数设置'!D24</f>
        <v>0.09</v>
      </c>
      <c r="F34" s="14">
        <f>D34*'参数设置'!$B$3</f>
        <v>700000.0000000001</v>
      </c>
      <c r="G34" s="14">
        <f>E34*F34</f>
        <v>63000.00000000001</v>
      </c>
    </row>
    <row r="35" spans="1:7">
      <c r="A35" s="4" t="s">
        <v>60</v>
      </c>
      <c r="B35" s="4" t="s">
        <v>23</v>
      </c>
      <c r="C35" s="4" t="s">
        <v>25</v>
      </c>
      <c r="D35" s="11">
        <f>'参数设置'!E10</f>
        <v>0.09</v>
      </c>
      <c r="E35" s="11">
        <f>'参数设置'!D25</f>
        <v>0.11</v>
      </c>
      <c r="F35" s="14">
        <f>D35*'参数设置'!$B$3</f>
        <v>900000.0</v>
      </c>
      <c r="G35" s="14">
        <f>E35*F35</f>
        <v>99000.0</v>
      </c>
    </row>
    <row r="36" spans="1:7">
      <c r="A36" s="4" t="s">
        <v>60</v>
      </c>
      <c r="B36" s="4" t="s">
        <v>26</v>
      </c>
      <c r="C36" s="4" t="s">
        <v>25</v>
      </c>
      <c r="D36" s="11">
        <f>'参数设置'!E11</f>
        <v>0.08</v>
      </c>
      <c r="E36" s="11">
        <f>'参数设置'!D25</f>
        <v>0.11</v>
      </c>
      <c r="F36" s="14">
        <f>D36*'参数设置'!$B$3</f>
        <v>800000.0</v>
      </c>
      <c r="G36" s="14">
        <f>E36*F36</f>
        <v>88000.0</v>
      </c>
    </row>
    <row r="37" spans="1:7">
      <c r="A37" s="4" t="s">
        <v>60</v>
      </c>
      <c r="B37" s="4" t="s">
        <v>28</v>
      </c>
      <c r="C37" s="4" t="s">
        <v>30</v>
      </c>
      <c r="D37" s="11">
        <f>'参数设置'!E12</f>
        <v>0.08</v>
      </c>
      <c r="E37" s="11">
        <f>'参数设置'!D26</f>
        <v>0.05</v>
      </c>
      <c r="F37" s="14">
        <f>D37*'参数设置'!$B$3</f>
        <v>800000.0</v>
      </c>
      <c r="G37" s="14">
        <f>E37*F37</f>
        <v>40000.0</v>
      </c>
    </row>
    <row r="38" spans="1:7">
      <c r="A38" s="4" t="s">
        <v>60</v>
      </c>
      <c r="B38" s="4" t="s">
        <v>31</v>
      </c>
      <c r="C38" s="4" t="s">
        <v>30</v>
      </c>
      <c r="D38" s="11">
        <f>'参数设置'!E13</f>
        <v>0.07</v>
      </c>
      <c r="E38" s="11">
        <f>'参数设置'!D26</f>
        <v>0.05</v>
      </c>
      <c r="F38" s="14">
        <f>D38*'参数设置'!$B$3</f>
        <v>700000.0000000001</v>
      </c>
      <c r="G38" s="14">
        <f>E38*F38</f>
        <v>35000.00000000001</v>
      </c>
    </row>
    <row r="39" spans="1:7">
      <c r="A39" s="4" t="s">
        <v>60</v>
      </c>
      <c r="B39" s="4" t="s">
        <v>33</v>
      </c>
      <c r="C39" s="4" t="s">
        <v>35</v>
      </c>
      <c r="D39" s="11">
        <f>'参数设置'!E14</f>
        <v>0.08</v>
      </c>
      <c r="E39" s="11">
        <f>'参数设置'!D27</f>
        <v>0.1</v>
      </c>
      <c r="F39" s="14">
        <f>D39*'参数设置'!$B$3</f>
        <v>800000.0</v>
      </c>
      <c r="G39" s="14">
        <f>E39*F39</f>
        <v>80000.0</v>
      </c>
    </row>
    <row r="40" spans="1:7">
      <c r="A40" s="4" t="s">
        <v>60</v>
      </c>
      <c r="B40" s="4" t="s">
        <v>36</v>
      </c>
      <c r="C40" s="4" t="s">
        <v>35</v>
      </c>
      <c r="D40" s="11">
        <f>'参数设置'!E15</f>
        <v>0.07</v>
      </c>
      <c r="E40" s="11">
        <f>'参数设置'!D27</f>
        <v>0.1</v>
      </c>
      <c r="F40" s="14">
        <f>D40*'参数设置'!$B$3</f>
        <v>700000.0000000001</v>
      </c>
      <c r="G40" s="14">
        <f>E40*F40</f>
        <v>70000.00000000001</v>
      </c>
    </row>
  </sheetData>
  <mergeCells count="2">
    <mergeCell ref="A1:G1"/>
    <mergeCell ref="A2:G2"/>
  </mergeCells>
  <conditionalFormatting sqref="G5:G4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3"/>
  <sheetViews>
    <sheetView showGridLines="0" zoomScale="85" zoomScaleNormal="85" workbookViewId="0">
      <pane topLeftCell="A1" activePane="bottomLeft" state="frozen"/>
      <selection pane="bottomLeft"/>
    </sheetView>
  </sheetViews>
  <sheetFormatPr defaultRowHeight="15"/>
  <cols>
    <col min="1" max="1" width="9.7109375" customWidth="1"/>
    <col min="2" max="2" width="12.7109375" customWidth="1"/>
    <col min="3" max="3" width="14.7109375" customWidth="1"/>
    <col min="4" max="5" width="15.7109375" customWidth="1"/>
    <col min="6" max="6" width="3.7109375" customWidth="1"/>
    <col min="7" max="12" width="13.7109375" customWidth="1"/>
  </cols>
  <sheetData>
    <row r="1" spans="1:12" ht="28" customHeight="1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spans="1:12">
      <c r="A3" s="15" t="s">
        <v>78</v>
      </c>
      <c r="B3" s="15"/>
      <c r="D3" s="15" t="s">
        <v>79</v>
      </c>
      <c r="E3" s="15"/>
      <c r="G3" s="15" t="s">
        <v>101</v>
      </c>
      <c r="H3" s="15"/>
      <c r="J3" s="15" t="s">
        <v>83</v>
      </c>
      <c r="K3" s="15"/>
    </row>
    <row r="4" spans="1:12">
      <c r="A4" s="16">
        <f>'组合分析'!B22</f>
        <v>0.13062683565537636</v>
      </c>
      <c r="B4" s="16"/>
      <c r="D4" s="16">
        <f>'组合分析'!B23</f>
        <v>0.11455607034702364</v>
      </c>
      <c r="E4" s="16"/>
      <c r="G4" s="16">
        <f>'组合分析'!B25/'参数设置'!B3</f>
        <v>0.05439930944790144</v>
      </c>
      <c r="H4" s="16"/>
      <c r="J4" s="16">
        <f>'组合分析'!B27</f>
        <v>-0.1293314203092506</v>
      </c>
      <c r="K4" s="16"/>
    </row>
    <row r="5" spans="1:12">
      <c r="A5" s="16"/>
      <c r="B5" s="16"/>
      <c r="D5" s="16"/>
      <c r="E5" s="16"/>
      <c r="G5" s="16"/>
      <c r="H5" s="16"/>
      <c r="J5" s="16"/>
      <c r="K5" s="16"/>
    </row>
    <row r="7" spans="1:12">
      <c r="A7" s="7" t="s">
        <v>102</v>
      </c>
    </row>
    <row r="8" spans="1:12">
      <c r="A8" s="2" t="s">
        <v>103</v>
      </c>
      <c r="B8" s="2" t="s">
        <v>2</v>
      </c>
      <c r="C8" s="2" t="s">
        <v>3</v>
      </c>
      <c r="D8" s="2" t="s">
        <v>55</v>
      </c>
      <c r="E8" s="2" t="s">
        <v>74</v>
      </c>
    </row>
    <row r="9" spans="1:12">
      <c r="A9" s="4">
        <v>1</v>
      </c>
      <c r="B9" s="4" t="str">
        <f>'组合分析'!A6</f>
        <v>S001</v>
      </c>
      <c r="C9" s="5" t="str">
        <f>'组合分析'!B6</f>
        <v>华曜科技</v>
      </c>
      <c r="D9" s="11">
        <f>'组合分析'!M6</f>
        <v>0.1</v>
      </c>
      <c r="E9" s="14">
        <f>'组合分析'!P6</f>
        <v>69186.57022522126</v>
      </c>
    </row>
    <row r="10" spans="1:12">
      <c r="A10" s="4">
        <v>2</v>
      </c>
      <c r="B10" s="4" t="str">
        <f>'组合分析'!A10</f>
        <v>S005</v>
      </c>
      <c r="C10" s="5" t="str">
        <f>'组合分析'!B10</f>
        <v>远岭医药</v>
      </c>
      <c r="D10" s="11">
        <f>'组合分析'!M10</f>
        <v>0.09</v>
      </c>
      <c r="E10" s="14">
        <f>'组合分析'!P10</f>
        <v>65111.89330989353</v>
      </c>
    </row>
    <row r="11" spans="1:12">
      <c r="A11" s="4">
        <v>3</v>
      </c>
      <c r="B11" s="4" t="str">
        <f>'组合分析'!A8</f>
        <v>S003</v>
      </c>
      <c r="C11" s="5" t="str">
        <f>'组合分析'!B8</f>
        <v>江海银行</v>
      </c>
      <c r="D11" s="11">
        <f>'组合分析'!M8</f>
        <v>0.1</v>
      </c>
      <c r="E11" s="14">
        <f>'组合分析'!P8</f>
        <v>63964.67780913862</v>
      </c>
    </row>
    <row r="12" spans="1:12">
      <c r="A12" s="4">
        <v>4</v>
      </c>
      <c r="B12" s="4" t="str">
        <f>'组合分析'!A9</f>
        <v>S004</v>
      </c>
      <c r="C12" s="5" t="str">
        <f>'组合分析'!B9</f>
        <v>安信证券</v>
      </c>
      <c r="D12" s="11">
        <f>'组合分析'!M9</f>
        <v>0.08</v>
      </c>
      <c r="E12" s="14">
        <f>'组合分析'!P9</f>
        <v>55817.83048664134</v>
      </c>
    </row>
    <row r="13" spans="1:12">
      <c r="A13" s="4">
        <v>5</v>
      </c>
      <c r="B13" s="4" t="str">
        <f>'组合分析'!A17</f>
        <v>S012</v>
      </c>
      <c r="C13" s="5" t="str">
        <f>'组合分析'!B17</f>
        <v>锐虎机械</v>
      </c>
      <c r="D13" s="11">
        <f>'组合分析'!M17</f>
        <v>0.07</v>
      </c>
      <c r="E13" s="14">
        <f>'组合分析'!P17</f>
        <v>54267.000379465695</v>
      </c>
    </row>
  </sheetData>
  <mergeCells count="9">
    <mergeCell ref="A1:L1"/>
    <mergeCell ref="A3:B3"/>
    <mergeCell ref="A4:B5"/>
    <mergeCell ref="D3:E3"/>
    <mergeCell ref="D4:E5"/>
    <mergeCell ref="G3:H3"/>
    <mergeCell ref="G4:H5"/>
    <mergeCell ref="J3:K3"/>
    <mergeCell ref="J4:K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5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8" width="15.7109375" customWidth="1"/>
    <col min="9" max="11" width="18.7109375" customWidth="1"/>
  </cols>
  <sheetData>
    <row r="1" spans="1:11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>
      <c r="A3" s="2" t="s">
        <v>105</v>
      </c>
      <c r="B3" s="2" t="s">
        <v>10</v>
      </c>
      <c r="C3" s="2" t="s">
        <v>15</v>
      </c>
      <c r="D3" s="2" t="s">
        <v>20</v>
      </c>
      <c r="E3" s="2" t="s">
        <v>25</v>
      </c>
      <c r="F3" s="2" t="s">
        <v>30</v>
      </c>
      <c r="G3" s="2" t="s">
        <v>35</v>
      </c>
      <c r="H3" s="2" t="s">
        <v>106</v>
      </c>
    </row>
    <row r="4" spans="1:11">
      <c r="A4" s="3">
        <v>45351</v>
      </c>
      <c r="B4" s="11">
        <f>('月度收益'!B2*'参数设置'!E4+'月度收益'!C2*'参数设置'!E5)/B$30</f>
        <v>0.040139355480900946</v>
      </c>
      <c r="C4" s="11">
        <f>('月度收益'!D2*'参数设置'!E6+'月度收益'!E2*'参数设置'!E7)/C$30</f>
        <v>0.020651090272624392</v>
      </c>
      <c r="D4" s="11">
        <f>('月度收益'!F2*'参数设置'!E8+'月度收益'!G2*'参数设置'!E9)/D$30</f>
        <v>0.013669662309368169</v>
      </c>
      <c r="E4" s="11">
        <f>('月度收益'!H2*'参数设置'!E10+'月度收益'!I2*'参数设置'!E11)/E$30</f>
        <v>0.03647807528967561</v>
      </c>
      <c r="F4" s="11">
        <f>('月度收益'!J2*'参数设置'!E12+'月度收益'!K2*'参数设置'!E13)/F$30</f>
        <v>0.06701066762555423</v>
      </c>
      <c r="G4" s="11">
        <f>('月度收益'!L2*'参数设置'!E14+'月度收益'!M2*'参数设置'!E15)/G$30</f>
        <v>0.04900423033756366</v>
      </c>
      <c r="H4" s="11">
        <f>SUMPRODUCT(B4:G4,$B$30:$G$30)</f>
        <v>0.037134327253655015</v>
      </c>
    </row>
    <row r="5" spans="1:11">
      <c r="A5" s="3">
        <v>45382</v>
      </c>
      <c r="B5" s="11">
        <f>('月度收益'!B3*'参数设置'!E4+'月度收益'!C3*'参数设置'!E5)/B$30</f>
        <v>0.02080385405767845</v>
      </c>
      <c r="C5" s="11">
        <f>('月度收益'!D3*'参数设置'!E6+'月度收益'!E3*'参数设置'!E7)/C$30</f>
        <v>0.0037386422908783543</v>
      </c>
      <c r="D5" s="11">
        <f>('月度收益'!F3*'参数设置'!E8+'月度收益'!G3*'参数设置'!E9)/D$30</f>
        <v>0.05583968262556071</v>
      </c>
      <c r="E5" s="11">
        <f>('月度收益'!H3*'参数设置'!E10+'月度收益'!I3*'参数设置'!E11)/E$30</f>
        <v>0.03811238569504865</v>
      </c>
      <c r="F5" s="11">
        <f>('月度收益'!J3*'参数设置'!E12+'月度收益'!K3*'参数设置'!E13)/F$30</f>
        <v>0.020420169855812038</v>
      </c>
      <c r="G5" s="11">
        <f>('月度收益'!L3*'参数设置'!E14+'月度收益'!M3*'参数设置'!E15)/G$30</f>
        <v>0.05542962370730448</v>
      </c>
      <c r="H5" s="11">
        <f>SUMPRODUCT(B5:G5,$B$30:$G$30)</f>
        <v>0.03141661170603247</v>
      </c>
    </row>
    <row r="6" spans="1:11">
      <c r="A6" s="3">
        <v>45412</v>
      </c>
      <c r="B6" s="11">
        <f>('月度收益'!B4*'参数设置'!E4+'月度收益'!C4*'参数设置'!E5)/B$30</f>
        <v>-0.007228174446060708</v>
      </c>
      <c r="C6" s="11">
        <f>('月度收益'!D4*'参数设置'!E6+'月度收益'!E4*'参数设置'!E7)/C$30</f>
        <v>0.020629579656771063</v>
      </c>
      <c r="D6" s="11">
        <f>('月度收益'!F4*'参数设置'!E8+'月度收益'!G4*'参数设置'!E9)/D$30</f>
        <v>0.02581346795889433</v>
      </c>
      <c r="E6" s="11">
        <f>('月度收益'!H4*'参数设置'!E10+'月度收益'!I4*'参数设置'!E11)/E$30</f>
        <v>0.025526481616359155</v>
      </c>
      <c r="F6" s="11">
        <f>('月度收益'!J4*'参数设置'!E12+'月度收益'!K4*'参数设置'!E13)/F$30</f>
        <v>0.02233543415289657</v>
      </c>
      <c r="G6" s="11">
        <f>('月度收益'!L4*'参数设置'!E14+'月度收益'!M4*'参数设置'!E15)/G$30</f>
        <v>0.005161521797419184</v>
      </c>
      <c r="H6" s="11">
        <f>SUMPRODUCT(B6:G6,$B$30:$G$30)</f>
        <v>0.01493417133421877</v>
      </c>
    </row>
    <row r="7" spans="1:11">
      <c r="A7" s="3">
        <v>45443</v>
      </c>
      <c r="B7" s="11">
        <f>('月度收益'!B5*'参数设置'!E4+'月度收益'!C5*'参数设置'!E5)/B$30</f>
        <v>-0.02222776901172087</v>
      </c>
      <c r="C7" s="11">
        <f>('月度收益'!D5*'参数设置'!E6+'月度收益'!E5*'参数设置'!E7)/C$30</f>
        <v>0.020250046185193944</v>
      </c>
      <c r="D7" s="11">
        <f>('月度收益'!F5*'参数设置'!E8+'月度收益'!G5*'参数设置'!E9)/D$30</f>
        <v>0.000567315205726478</v>
      </c>
      <c r="E7" s="11">
        <f>('月度收益'!H5*'参数设置'!E10+'月度收益'!I5*'参数设置'!E11)/E$30</f>
        <v>0.011665971786331273</v>
      </c>
      <c r="F7" s="11">
        <f>('月度收益'!J5*'参数设置'!E12+'月度收益'!K5*'参数设置'!E13)/F$30</f>
        <v>0.003185561184784873</v>
      </c>
      <c r="G7" s="11">
        <f>('月度收益'!L5*'参数设置'!E14+'月度收益'!M5*'参数设置'!E15)/G$30</f>
        <v>-0.022825104955650183</v>
      </c>
      <c r="H7" s="11">
        <f>SUMPRODUCT(B7:G7,$B$30:$G$30)</f>
        <v>-0.0014502137279292998</v>
      </c>
    </row>
    <row r="8" spans="1:11">
      <c r="A8" s="3">
        <v>45473</v>
      </c>
      <c r="B8" s="11">
        <f>('月度收益'!B6*'参数设置'!E4+'月度收益'!C6*'参数设置'!E5)/B$30</f>
        <v>-0.011313775442622954</v>
      </c>
      <c r="C8" s="11">
        <f>('月度收益'!D6*'参数设置'!E6+'月度收益'!E6*'参数设置'!E7)/C$30</f>
        <v>0.003550405774603811</v>
      </c>
      <c r="D8" s="11">
        <f>('月度收益'!F6*'参数设置'!E8+'月度收益'!G6*'参数设置'!E9)/D$30</f>
        <v>0.016403385046832347</v>
      </c>
      <c r="E8" s="11">
        <f>('月度收益'!H6*'参数设置'!E10+'月度收益'!I6*'参数设置'!E11)/E$30</f>
        <v>0.0021509669202346244</v>
      </c>
      <c r="F8" s="11">
        <f>('月度收益'!J6*'参数设置'!E12+'月度收益'!K6*'参数设置'!E13)/F$30</f>
        <v>-0.023032810294347783</v>
      </c>
      <c r="G8" s="11">
        <f>('月度收益'!L6*'参数设置'!E14+'月度收益'!M6*'参数设置'!E15)/G$30</f>
        <v>-0.007750425507905723</v>
      </c>
      <c r="H8" s="11">
        <f>SUMPRODUCT(B8:G8,$B$30:$G$30)</f>
        <v>-0.00313782368107464</v>
      </c>
    </row>
    <row r="9" spans="1:11">
      <c r="A9" s="3">
        <v>45504</v>
      </c>
      <c r="B9" s="11">
        <f>('月度收益'!B7*'参数设置'!E4+'月度收益'!C7*'参数设置'!E5)/B$30</f>
        <v>0.0035811667496765546</v>
      </c>
      <c r="C9" s="11">
        <f>('月度收益'!D7*'参数设置'!E6+'月度收益'!E7*'参数设置'!E7)/C$30</f>
        <v>0.005457952826373908</v>
      </c>
      <c r="D9" s="11">
        <f>('月度收益'!F7*'参数设置'!E8+'月度收益'!G7*'参数设置'!E9)/D$30</f>
        <v>0.0008187515588026138</v>
      </c>
      <c r="E9" s="11">
        <f>('月度收益'!H7*'参数设置'!E10+'月度收益'!I7*'参数设置'!E11)/E$30</f>
        <v>-0.000374805292396758</v>
      </c>
      <c r="F9" s="11">
        <f>('月度收益'!J7*'参数设置'!E12+'月度收益'!K7*'参数设置'!E13)/F$30</f>
        <v>-0.00584057752938653</v>
      </c>
      <c r="G9" s="11">
        <f>('月度收益'!L7*'参数设置'!E14+'月度收益'!M7*'参数设置'!E15)/G$30</f>
        <v>-0.0024049367868581866</v>
      </c>
      <c r="H9" s="11">
        <f>SUMPRODUCT(B9:G9,$B$30:$G$30)</f>
        <v>0.0004933093934501105</v>
      </c>
    </row>
    <row r="10" spans="1:11">
      <c r="A10" s="3">
        <v>45535</v>
      </c>
      <c r="B10" s="11">
        <f>('月度收益'!B8*'参数设置'!E4+'月度收益'!C8*'参数设置'!E5)/B$30</f>
        <v>-0.020235298066595075</v>
      </c>
      <c r="C10" s="11">
        <f>('月度收益'!D8*'参数设置'!E6+'月度收益'!E8*'参数设置'!E7)/C$30</f>
        <v>-0.027467300822028813</v>
      </c>
      <c r="D10" s="11">
        <f>('月度收益'!F8*'参数设置'!E8+'月度收益'!G8*'参数设置'!E9)/D$30</f>
        <v>-0.05035420244779837</v>
      </c>
      <c r="E10" s="11">
        <f>('月度收益'!H8*'参数设置'!E10+'月度收益'!I8*'参数设置'!E11)/E$30</f>
        <v>-0.038232126407437325</v>
      </c>
      <c r="F10" s="11">
        <f>('月度收益'!J8*'参数设置'!E12+'月度收益'!K8*'参数设置'!E13)/F$30</f>
        <v>-0.05376381852977597</v>
      </c>
      <c r="G10" s="11">
        <f>('月度收益'!L8*'参数设置'!E14+'月度收益'!M8*'参数设置'!E15)/G$30</f>
        <v>-0.05289302647028515</v>
      </c>
      <c r="H10" s="11">
        <f>SUMPRODUCT(B10:G10,$B$30:$G$30)</f>
        <v>-0.0393434814115395</v>
      </c>
    </row>
    <row r="11" spans="1:11">
      <c r="A11" s="3">
        <v>45565</v>
      </c>
      <c r="B11" s="11">
        <f>('月度收益'!B9*'参数设置'!E4+'月度收益'!C9*'参数设置'!E5)/B$30</f>
        <v>0.035076533423352575</v>
      </c>
      <c r="C11" s="11">
        <f>('月度收益'!D9*'参数设置'!E6+'月度收益'!E9*'参数设置'!E7)/C$30</f>
        <v>0.04268829926866749</v>
      </c>
      <c r="D11" s="11">
        <f>('月度收益'!F9*'参数设置'!E8+'月度收益'!G9*'参数设置'!E9)/D$30</f>
        <v>0.03726166890218514</v>
      </c>
      <c r="E11" s="11">
        <f>('月度收益'!H9*'参数设置'!E10+'月度收益'!I9*'参数设置'!E11)/E$30</f>
        <v>0.017740523144794126</v>
      </c>
      <c r="F11" s="11">
        <f>('月度收益'!J9*'参数设置'!E12+'月度收益'!K9*'参数设置'!E13)/F$30</f>
        <v>0.027252080025214818</v>
      </c>
      <c r="G11" s="11">
        <f>('月度收益'!L9*'参数设置'!E14+'月度收益'!M9*'参数设置'!E15)/G$30</f>
        <v>0.04852557393530639</v>
      </c>
      <c r="H11" s="11">
        <f>SUMPRODUCT(B11:G11,$B$30:$G$30)</f>
        <v>0.03469283927183994</v>
      </c>
    </row>
    <row r="12" spans="1:11">
      <c r="A12" s="3">
        <v>45596</v>
      </c>
      <c r="B12" s="11">
        <f>('月度收益'!B10*'参数设置'!E4+'月度收益'!C10*'参数设置'!E5)/B$30</f>
        <v>0.040978993500349926</v>
      </c>
      <c r="C12" s="11">
        <f>('月度收益'!D10*'参数设置'!E6+'月度收益'!E10*'参数设置'!E7)/C$30</f>
        <v>0.05026293846780755</v>
      </c>
      <c r="D12" s="11">
        <f>('月度收益'!F10*'参数设置'!E8+'月度收益'!G10*'参数设置'!E9)/D$30</f>
        <v>0.042615542161327014</v>
      </c>
      <c r="E12" s="11">
        <f>('月度收益'!H10*'参数设置'!E10+'月度收益'!I10*'参数设置'!E11)/E$30</f>
        <v>0.020087850161690027</v>
      </c>
      <c r="F12" s="11">
        <f>('月度收益'!J10*'参数设置'!E12+'月度收益'!K10*'参数设置'!E13)/F$30</f>
        <v>0.029835922086186094</v>
      </c>
      <c r="G12" s="11">
        <f>('月度收益'!L10*'参数设置'!E14+'月度收益'!M10*'参数设置'!E15)/G$30</f>
        <v>0.054170471693309956</v>
      </c>
      <c r="H12" s="11">
        <f>SUMPRODUCT(B12:G12,$B$30:$G$30)</f>
        <v>0.03966771802949588</v>
      </c>
    </row>
    <row r="13" spans="1:11">
      <c r="A13" s="3">
        <v>45626</v>
      </c>
      <c r="B13" s="11">
        <f>('月度收益'!B11*'参数设置'!E4+'月度收益'!C11*'参数设置'!E5)/B$30</f>
        <v>0.07417460712986</v>
      </c>
      <c r="C13" s="11">
        <f>('月度收益'!D11*'参数设置'!E6+'月度收益'!E11*'参数设置'!E7)/C$30</f>
        <v>0.07684454053421894</v>
      </c>
      <c r="D13" s="11">
        <f>('月度收益'!F11*'参数设置'!E8+'月度收益'!G11*'参数设置'!E9)/D$30</f>
        <v>0.06876859155135966</v>
      </c>
      <c r="E13" s="11">
        <f>('月度收益'!H11*'参数设置'!E10+'月度收益'!I11*'参数设置'!E11)/E$30</f>
        <v>0.05489245746139359</v>
      </c>
      <c r="F13" s="11">
        <f>('月度收益'!J11*'参数设置'!E12+'月度收益'!K11*'参数设置'!E13)/F$30</f>
        <v>0.08943395692237263</v>
      </c>
      <c r="G13" s="11">
        <f>('月度收益'!L11*'参数设置'!E14+'月度收益'!M11*'参数设置'!E15)/G$30</f>
        <v>0.09825934733782535</v>
      </c>
      <c r="H13" s="11">
        <f>SUMPRODUCT(B13:G13,$B$30:$G$30)</f>
        <v>0.07641388070651696</v>
      </c>
    </row>
    <row r="14" spans="1:11">
      <c r="A14" s="3">
        <v>45657</v>
      </c>
      <c r="B14" s="11">
        <f>('月度收益'!B12*'参数设置'!E4+'月度收益'!C12*'参数设置'!E5)/B$30</f>
        <v>0.023740886310502723</v>
      </c>
      <c r="C14" s="11">
        <f>('月度收益'!D12*'参数设置'!E6+'月度收益'!E12*'参数设置'!E7)/C$30</f>
        <v>-0.01330216567710517</v>
      </c>
      <c r="D14" s="11">
        <f>('月度收益'!F12*'参数设置'!E8+'月度收益'!G12*'参数设置'!E9)/D$30</f>
        <v>0.008272708246466335</v>
      </c>
      <c r="E14" s="11">
        <f>('月度收益'!H12*'参数设置'!E10+'月度收益'!I12*'参数设置'!E11)/E$30</f>
        <v>0.005541047316630305</v>
      </c>
      <c r="F14" s="11">
        <f>('月度收益'!J12*'参数设置'!E12+'月度收益'!K12*'参数设置'!E13)/F$30</f>
        <v>0.010798258529030401</v>
      </c>
      <c r="G14" s="11">
        <f>('月度收益'!L12*'参数设置'!E14+'月度收益'!M12*'参数设置'!E15)/G$30</f>
        <v>0.03427390594401737</v>
      </c>
      <c r="H14" s="11">
        <f>SUMPRODUCT(B14:G14,$B$30:$G$30)</f>
        <v>0.011142814611335518</v>
      </c>
    </row>
    <row r="15" spans="1:11">
      <c r="A15" s="3">
        <v>45688</v>
      </c>
      <c r="B15" s="11">
        <f>('月度收益'!B13*'参数设置'!E4+'月度收益'!C13*'参数设置'!E5)/B$30</f>
        <v>-0.006358610105040377</v>
      </c>
      <c r="C15" s="11">
        <f>('月度收益'!D13*'参数设置'!E6+'月度收益'!E13*'参数设置'!E7)/C$30</f>
        <v>-0.02906886030973625</v>
      </c>
      <c r="D15" s="11">
        <f>('月度收益'!F13*'参数设置'!E8+'月度收益'!G13*'参数设置'!E9)/D$30</f>
        <v>-0.026680696386815275</v>
      </c>
      <c r="E15" s="11">
        <f>('月度收益'!H13*'参数设置'!E10+'月度收益'!I13*'参数设置'!E11)/E$30</f>
        <v>-0.002696891820455242</v>
      </c>
      <c r="F15" s="11">
        <f>('月度收益'!J13*'参数设置'!E12+'月度收益'!K13*'参数设置'!E13)/F$30</f>
        <v>-0.009549276010915663</v>
      </c>
      <c r="G15" s="11">
        <f>('月度收益'!L13*'参数设置'!E14+'月度收益'!M13*'参数设置'!E15)/G$30</f>
        <v>-0.0017735587325099433</v>
      </c>
      <c r="H15" s="11">
        <f>SUMPRODUCT(B15:G15,$B$30:$G$30)</f>
        <v>-0.012866339018591872</v>
      </c>
    </row>
    <row r="16" spans="1:11">
      <c r="A16" s="3">
        <v>45716</v>
      </c>
      <c r="B16" s="11">
        <f>('月度收益'!B14*'参数设置'!E4+'月度收益'!C14*'参数设置'!E5)/B$30</f>
        <v>-0.03863404738835578</v>
      </c>
      <c r="C16" s="11">
        <f>('月度收益'!D14*'参数设置'!E6+'月度收益'!E14*'参数设置'!E7)/C$30</f>
        <v>-0.016104269351907008</v>
      </c>
      <c r="D16" s="11">
        <f>('月度收益'!F14*'参数设置'!E8+'月度收益'!G14*'参数设置'!E9)/D$30</f>
        <v>-0.053606696034521194</v>
      </c>
      <c r="E16" s="11">
        <f>('月度收益'!H14*'参数设置'!E10+'月度收益'!I14*'参数设置'!E11)/E$30</f>
        <v>-0.011369876408700267</v>
      </c>
      <c r="F16" s="11">
        <f>('月度收益'!J14*'参数设置'!E12+'月度收益'!K14*'参数设置'!E13)/F$30</f>
        <v>9.217557256466685e-05</v>
      </c>
      <c r="G16" s="11">
        <f>('月度收益'!L14*'参数设置'!E14+'月度收益'!M14*'参数设置'!E15)/G$30</f>
        <v>-0.05229502306702795</v>
      </c>
      <c r="H16" s="11">
        <f>SUMPRODUCT(B16:G16,$B$30:$G$30)</f>
        <v>-0.02857961496630279</v>
      </c>
    </row>
    <row r="17" spans="1:11">
      <c r="A17" s="3">
        <v>45747</v>
      </c>
      <c r="B17" s="11">
        <f>('月度收益'!B15*'参数设置'!E4+'月度收益'!C15*'参数设置'!E5)/B$30</f>
        <v>-0.05256735401347983</v>
      </c>
      <c r="C17" s="11">
        <f>('月度收益'!D15*'参数设置'!E6+'月度收益'!E15*'参数设置'!E7)/C$30</f>
        <v>-0.027196286681917762</v>
      </c>
      <c r="D17" s="11">
        <f>('月度收益'!F15*'参数设置'!E8+'月度收益'!G15*'参数设置'!E9)/D$30</f>
        <v>-0.003974310292359284</v>
      </c>
      <c r="E17" s="11">
        <f>('月度收益'!H15*'参数设置'!E10+'月度收益'!I15*'参数设置'!E11)/E$30</f>
        <v>-0.002688052052589701</v>
      </c>
      <c r="F17" s="11">
        <f>('月度收益'!J15*'参数设置'!E12+'月度收益'!K15*'参数设置'!E13)/F$30</f>
        <v>-0.04087339470080129</v>
      </c>
      <c r="G17" s="11">
        <f>('月度收益'!L15*'参数设置'!E14+'月度收益'!M15*'参数设置'!E15)/G$30</f>
        <v>-0.04044612763906296</v>
      </c>
      <c r="H17" s="11">
        <f>SUMPRODUCT(B17:G17,$B$30:$G$30)</f>
        <v>-0.02817391571200374</v>
      </c>
    </row>
    <row r="18" spans="1:11">
      <c r="A18" s="3">
        <v>45777</v>
      </c>
      <c r="B18" s="11">
        <f>('月度收益'!B16*'参数设置'!E4+'月度收益'!C16*'参数设置'!E5)/B$30</f>
        <v>-0.07682077646964937</v>
      </c>
      <c r="C18" s="11">
        <f>('月度收益'!D16*'参数设置'!E6+'月度收益'!E16*'参数设置'!E7)/C$30</f>
        <v>-0.08592127906989991</v>
      </c>
      <c r="D18" s="11">
        <f>('月度收益'!F16*'参数设置'!E8+'月度收益'!G16*'参数设置'!E9)/D$30</f>
        <v>-0.08592368636514157</v>
      </c>
      <c r="E18" s="11">
        <f>('月度收益'!H16*'参数设置'!E10+'月度收益'!I16*'参数设置'!E11)/E$30</f>
        <v>-0.03519232117674543</v>
      </c>
      <c r="F18" s="11">
        <f>('月度收益'!J16*'参数设置'!E12+'月度收益'!K16*'参数设置'!E13)/F$30</f>
        <v>-0.045792742392673454</v>
      </c>
      <c r="G18" s="11">
        <f>('月度收益'!L16*'参数设置'!E14+'月度收益'!M16*'参数设置'!E15)/G$30</f>
        <v>-0.06033345819768108</v>
      </c>
      <c r="H18" s="11">
        <f>SUMPRODUCT(B18:G18,$B$30:$G$30)</f>
        <v>-0.06571119226883793</v>
      </c>
    </row>
    <row r="19" spans="1:11">
      <c r="A19" s="3">
        <v>45808</v>
      </c>
      <c r="B19" s="11">
        <f>('月度收益'!B17*'参数设置'!E4+'月度收益'!C17*'参数设置'!E5)/B$30</f>
        <v>0.007422258564939768</v>
      </c>
      <c r="C19" s="11">
        <f>('月度收益'!D17*'参数设置'!E6+'月度收益'!E17*'参数设置'!E7)/C$30</f>
        <v>0.025005074323266256</v>
      </c>
      <c r="D19" s="11">
        <f>('月度收益'!F17*'参数设置'!E8+'月度收益'!G17*'参数设置'!E9)/D$30</f>
        <v>0.033664573556926466</v>
      </c>
      <c r="E19" s="11">
        <f>('月度收益'!H17*'参数设置'!E10+'月度收益'!I17*'参数设置'!E11)/E$30</f>
        <v>0.0249709674086924</v>
      </c>
      <c r="F19" s="11">
        <f>('月度收益'!J17*'参数设置'!E12+'月度收益'!K17*'参数设置'!E13)/F$30</f>
        <v>0.014827501431142752</v>
      </c>
      <c r="G19" s="11">
        <f>('月度收益'!L17*'参数设置'!E14+'月度收益'!M17*'参数设置'!E15)/G$30</f>
        <v>0.014285827311424238</v>
      </c>
      <c r="H19" s="11">
        <f>SUMPRODUCT(B19:G19,$B$30:$G$30)</f>
        <v>0.01990953804549747</v>
      </c>
    </row>
    <row r="20" spans="1:11">
      <c r="A20" s="3">
        <v>45838</v>
      </c>
      <c r="B20" s="11">
        <f>('月度收益'!B18*'参数设置'!E4+'月度收益'!C18*'参数设置'!E5)/B$30</f>
        <v>0.04966302038604869</v>
      </c>
      <c r="C20" s="11">
        <f>('月度收益'!D18*'参数设置'!E6+'月度收益'!E18*'参数设置'!E7)/C$30</f>
        <v>0.0746369663227838</v>
      </c>
      <c r="D20" s="11">
        <f>('月度收益'!F18*'参数设置'!E8+'月度收益'!G18*'参数设置'!E9)/D$30</f>
        <v>0.07301274056228317</v>
      </c>
      <c r="E20" s="11">
        <f>('月度收益'!H18*'参数设置'!E10+'月度收益'!I18*'参数设置'!E11)/E$30</f>
        <v>0.033339848957377724</v>
      </c>
      <c r="F20" s="11">
        <f>('月度收益'!J18*'参数设置'!E12+'月度收益'!K18*'参数设置'!E13)/F$30</f>
        <v>0.011533113777284512</v>
      </c>
      <c r="G20" s="11">
        <f>('月度收益'!L18*'参数设置'!E14+'月度收益'!M18*'参数设置'!E15)/G$30</f>
        <v>0.013317023917036491</v>
      </c>
      <c r="H20" s="11">
        <f>SUMPRODUCT(B20:G20,$B$30:$G$30)</f>
        <v>0.043947961278318</v>
      </c>
    </row>
    <row r="21" spans="1:11">
      <c r="A21" s="3">
        <v>45869</v>
      </c>
      <c r="B21" s="11">
        <f>('月度收益'!B19*'参数设置'!E4+'月度收益'!C19*'参数设置'!E5)/B$30</f>
        <v>0.055984617823067406</v>
      </c>
      <c r="C21" s="11">
        <f>('月度收益'!D19*'参数设置'!E6+'月度收益'!E19*'参数设置'!E7)/C$30</f>
        <v>0.046818233947262804</v>
      </c>
      <c r="D21" s="11">
        <f>('月度收益'!F19*'参数设置'!E8+'月度收益'!G19*'参数设置'!E9)/D$30</f>
        <v>0.028919127733900003</v>
      </c>
      <c r="E21" s="11">
        <f>('月度收益'!H19*'参数设置'!E10+'月度收益'!I19*'参数设置'!E11)/E$30</f>
        <v>0.02765961374325402</v>
      </c>
      <c r="F21" s="11">
        <f>('月度收益'!J19*'参数设置'!E12+'月度收益'!K19*'参数设置'!E13)/F$30</f>
        <v>0.04883532205717295</v>
      </c>
      <c r="G21" s="11">
        <f>('月度收益'!L19*'参数设置'!E14+'月度收益'!M19*'参数设置'!E15)/G$30</f>
        <v>0.043670417025752827</v>
      </c>
      <c r="H21" s="11">
        <f>SUMPRODUCT(B21:G21,$B$30:$G$30)</f>
        <v>0.04226941513310616</v>
      </c>
    </row>
    <row r="22" spans="1:11">
      <c r="A22" s="3">
        <v>45900</v>
      </c>
      <c r="B22" s="11">
        <f>('月度收益'!B20*'参数设置'!E4+'月度收益'!C20*'参数设置'!E5)/B$30</f>
        <v>0.03685172961810691</v>
      </c>
      <c r="C22" s="11">
        <f>('月度收益'!D20*'参数设置'!E6+'月度收益'!E20*'参数设置'!E7)/C$30</f>
        <v>0.017531689709682517</v>
      </c>
      <c r="D22" s="11">
        <f>('月度收益'!F20*'参数设置'!E8+'月度收益'!G20*'参数设置'!E9)/D$30</f>
        <v>0.04836283771322886</v>
      </c>
      <c r="E22" s="11">
        <f>('月度收益'!H20*'参数设置'!E10+'月度收益'!I20*'参数设置'!E11)/E$30</f>
        <v>0.012257314223147192</v>
      </c>
      <c r="F22" s="11">
        <f>('月度收益'!J20*'参数设置'!E12+'月度收益'!K20*'参数设置'!E13)/F$30</f>
        <v>-0.0017643462245952094</v>
      </c>
      <c r="G22" s="11">
        <f>('月度收益'!L20*'参数设置'!E14+'月度收益'!M20*'参数设置'!E15)/G$30</f>
        <v>0.05262318284817849</v>
      </c>
      <c r="H22" s="11">
        <f>SUMPRODUCT(B22:G22,$B$30:$G$30)</f>
        <v>0.0276081557207723</v>
      </c>
    </row>
    <row r="23" spans="1:11">
      <c r="A23" s="3">
        <v>45930</v>
      </c>
      <c r="B23" s="11">
        <f>('月度收益'!B21*'参数设置'!E4+'月度收益'!C21*'参数设置'!E5)/B$30</f>
        <v>0.043403371148473494</v>
      </c>
      <c r="C23" s="11">
        <f>('月度收益'!D21*'参数设置'!E6+'月度收益'!E21*'参数设置'!E7)/C$30</f>
        <v>0.06778992126884449</v>
      </c>
      <c r="D23" s="11">
        <f>('月度收益'!F21*'参数设置'!E8+'月度收益'!G21*'参数设置'!E9)/D$30</f>
        <v>0.057589890249146805</v>
      </c>
      <c r="E23" s="11">
        <f>('月度收益'!H21*'参数设置'!E10+'月度收益'!I21*'参数设置'!E11)/E$30</f>
        <v>0.03230804044638717</v>
      </c>
      <c r="F23" s="11">
        <f>('月度收益'!J21*'参数设置'!E12+'月度收益'!K21*'参数设置'!E13)/F$30</f>
        <v>0.04924500137719234</v>
      </c>
      <c r="G23" s="11">
        <f>('月度收益'!L21*'参数设置'!E14+'月度收益'!M21*'参数设置'!E15)/G$30</f>
        <v>0.06633428368329597</v>
      </c>
      <c r="H23" s="11">
        <f>SUMPRODUCT(B23:G23,$B$30:$G$30)</f>
        <v>0.05249246842142453</v>
      </c>
    </row>
    <row r="24" spans="1:11">
      <c r="A24" s="3">
        <v>45961</v>
      </c>
      <c r="B24" s="11">
        <f>('月度收益'!B22*'参数设置'!E4+'月度收益'!C22*'参数设置'!E5)/B$30</f>
        <v>-0.007607175861628576</v>
      </c>
      <c r="C24" s="11">
        <f>('月度收益'!D22*'参数设置'!E6+'月度收益'!E22*'参数设置'!E7)/C$30</f>
        <v>0.012537961788336573</v>
      </c>
      <c r="D24" s="11">
        <f>('月度收益'!F22*'参数设置'!E8+'月度收益'!G22*'参数设置'!E9)/D$30</f>
        <v>-0.02622343721893637</v>
      </c>
      <c r="E24" s="11">
        <f>('月度收益'!H22*'参数设置'!E10+'月度收益'!I22*'参数设置'!E11)/E$30</f>
        <v>-0.011514689819452984</v>
      </c>
      <c r="F24" s="11">
        <f>('月度收益'!J22*'参数设置'!E12+'月度收益'!K22*'参数设置'!E13)/F$30</f>
        <v>0.0016114089987813323</v>
      </c>
      <c r="G24" s="11">
        <f>('月度收益'!L22*'参数设置'!E14+'月度收益'!M22*'参数设置'!E15)/G$30</f>
        <v>-0.009081894459468838</v>
      </c>
      <c r="H24" s="11">
        <f>SUMPRODUCT(B24:G24,$B$30:$G$30)</f>
        <v>-0.006462350335248799</v>
      </c>
    </row>
    <row r="25" spans="1:11">
      <c r="A25" s="3">
        <v>45991</v>
      </c>
      <c r="B25" s="11">
        <f>('月度收益'!B23*'参数设置'!E4+'月度收益'!C23*'参数设置'!E5)/B$30</f>
        <v>-0.004764339144909995</v>
      </c>
      <c r="C25" s="11">
        <f>('月度收益'!D23*'参数设置'!E6+'月度收益'!E23*'参数设置'!E7)/C$30</f>
        <v>-0.011889120173846074</v>
      </c>
      <c r="D25" s="11">
        <f>('月度收益'!F23*'参数设置'!E8+'月度收益'!G23*'参数设置'!E9)/D$30</f>
        <v>-0.007722565476647021</v>
      </c>
      <c r="E25" s="11">
        <f>('月度收益'!H23*'参数设置'!E10+'月度收益'!I23*'参数设置'!E11)/E$30</f>
        <v>-0.0080552459482691</v>
      </c>
      <c r="F25" s="11">
        <f>('月度收益'!J23*'参数设置'!E12+'月度收益'!K23*'参数设置'!E13)/F$30</f>
        <v>-0.011049918225097738</v>
      </c>
      <c r="G25" s="11">
        <f>('月度收益'!L23*'参数设置'!E14+'月度收益'!M23*'参数设置'!E15)/G$30</f>
        <v>0.012447226669546785</v>
      </c>
      <c r="H25" s="11">
        <f>SUMPRODUCT(B25:G25,$B$30:$G$30)</f>
        <v>-0.005440672089627106</v>
      </c>
    </row>
    <row r="26" spans="1:11">
      <c r="A26" s="3">
        <v>46022</v>
      </c>
      <c r="B26" s="11">
        <f>('月度收益'!B24*'参数设置'!E4+'月度收益'!C24*'参数设置'!E5)/B$30</f>
        <v>0.007250300375761576</v>
      </c>
      <c r="C26" s="11">
        <f>('月度收益'!D24*'参数设置'!E6+'月度收益'!E24*'参数设置'!E7)/C$30</f>
        <v>-0.0070612090100724435</v>
      </c>
      <c r="D26" s="11">
        <f>('月度收益'!F24*'参数设置'!E8+'月度收益'!G24*'参数设置'!E9)/D$30</f>
        <v>-0.007837598081442632</v>
      </c>
      <c r="E26" s="11">
        <f>('月度收益'!H24*'参数设置'!E10+'月度收益'!I24*'参数设置'!E11)/E$30</f>
        <v>0.008372710552405287</v>
      </c>
      <c r="F26" s="11">
        <f>('月度收益'!J24*'参数设置'!E12+'月度收益'!K24*'参数设置'!E13)/F$30</f>
        <v>0.023113258861488004</v>
      </c>
      <c r="G26" s="11">
        <f>('月度收益'!L24*'参数设置'!E14+'月度收益'!M24*'参数设置'!E15)/G$30</f>
        <v>0.02540872660799677</v>
      </c>
      <c r="H26" s="11">
        <f>SUMPRODUCT(B26:G26,$B$30:$G$30)</f>
        <v>0.007554182370882454</v>
      </c>
    </row>
    <row r="29" spans="1:11">
      <c r="A29" s="2" t="s">
        <v>4</v>
      </c>
      <c r="B29" s="2" t="s">
        <v>10</v>
      </c>
      <c r="C29" s="2" t="s">
        <v>15</v>
      </c>
      <c r="D29" s="2" t="s">
        <v>20</v>
      </c>
      <c r="E29" s="2" t="s">
        <v>25</v>
      </c>
      <c r="F29" s="2" t="s">
        <v>30</v>
      </c>
      <c r="G29" s="2" t="s">
        <v>35</v>
      </c>
    </row>
    <row r="30" spans="1:11">
      <c r="A30" s="8" t="s">
        <v>107</v>
      </c>
      <c r="B30" s="11">
        <f>SUM('参数设置'!E4:E5)</f>
        <v>0.19</v>
      </c>
      <c r="C30" s="11">
        <f>SUM('参数设置'!E6:E7)</f>
        <v>0.18</v>
      </c>
      <c r="D30" s="11">
        <f>SUM('参数设置'!E8:E9)</f>
        <v>0.16</v>
      </c>
      <c r="E30" s="11">
        <f>SUM('参数设置'!E10:E11)</f>
        <v>0.16999999999999998</v>
      </c>
      <c r="F30" s="11">
        <f>SUM('参数设置'!E12:E13)</f>
        <v>0.15000000000000002</v>
      </c>
      <c r="G30" s="11">
        <f>SUM('参数设置'!E14:E15)</f>
        <v>0.15000000000000002</v>
      </c>
    </row>
    <row r="32" spans="1:11">
      <c r="A32" s="2" t="s">
        <v>108</v>
      </c>
      <c r="B32" s="2" t="s">
        <v>10</v>
      </c>
      <c r="C32" s="2" t="s">
        <v>15</v>
      </c>
      <c r="D32" s="2" t="s">
        <v>20</v>
      </c>
      <c r="E32" s="2" t="s">
        <v>25</v>
      </c>
      <c r="F32" s="2" t="s">
        <v>30</v>
      </c>
      <c r="G32" s="2" t="s">
        <v>35</v>
      </c>
      <c r="H32" s="2" t="s">
        <v>109</v>
      </c>
      <c r="I32" s="2" t="s">
        <v>110</v>
      </c>
      <c r="J32" s="2" t="s">
        <v>111</v>
      </c>
      <c r="K32" s="2" t="s">
        <v>112</v>
      </c>
    </row>
    <row r="33" spans="1:11">
      <c r="A33" s="8" t="s">
        <v>10</v>
      </c>
      <c r="B33" s="13">
        <f>COVARIANCE.S(B$4:B$26,B$4:B$26)</f>
        <v>0.0013524084576669244</v>
      </c>
      <c r="C33" s="13">
        <f>COVARIANCE.S(B$4:B$26,C$4:C$26)</f>
        <v>0.001199265661419234</v>
      </c>
      <c r="D33" s="13">
        <f>COVARIANCE.S(B$4:B$26,D$4:D$26)</f>
        <v>0.001255970611206699</v>
      </c>
      <c r="E33" s="13">
        <f>COVARIANCE.S(B$4:B$26,E$4:E$26)</f>
        <v>0.000678949334674663</v>
      </c>
      <c r="F33" s="13">
        <f>COVARIANCE.S(B$4:B$26,F$4:F$26)</f>
        <v>0.0010365458850546678</v>
      </c>
      <c r="G33" s="13">
        <f>COVARIANCE.S(B$4:B$26,G$4:G$26)</f>
        <v>0.0014133312018288144</v>
      </c>
      <c r="H33" s="13">
        <f>SUMPRODUCT(B33:G33,$B$30:$G$30)</f>
        <v>0.0011566836737324647</v>
      </c>
      <c r="I33" s="14">
        <f>B$30*H33*'参数设置'!$B$3*'参数设置'!$B$7/SQRT($B$41)</f>
        <v>109321.76240762952</v>
      </c>
      <c r="J33" s="14">
        <f>I33/B$30</f>
        <v>575377.6968822606</v>
      </c>
      <c r="K33" s="14">
        <f>B$30*STDEV.S(B$4:B$26)*'参数设置'!$B$3*'参数设置'!$B$7</f>
        <v>114940.59534792692</v>
      </c>
    </row>
    <row r="34" spans="1:11">
      <c r="A34" s="8" t="s">
        <v>15</v>
      </c>
      <c r="B34" s="13">
        <f>COVARIANCE.S(C$4:C$26,B$4:B$26)</f>
        <v>0.001199265661419234</v>
      </c>
      <c r="C34" s="13">
        <f>COVARIANCE.S(C$4:C$26,C$4:C$26)</f>
        <v>0.0014632106602867462</v>
      </c>
      <c r="D34" s="13">
        <f>COVARIANCE.S(C$4:C$26,D$4:D$26)</f>
        <v>0.0013546728920645023</v>
      </c>
      <c r="E34" s="13">
        <f>COVARIANCE.S(C$4:C$26,E$4:E$26)</f>
        <v>0.0007207445205151251</v>
      </c>
      <c r="F34" s="13">
        <f>COVARIANCE.S(C$4:C$26,F$4:F$26)</f>
        <v>0.0010089856281822042</v>
      </c>
      <c r="G34" s="13">
        <f>COVARIANCE.S(C$4:C$26,G$4:G$26)</f>
        <v>0.0011780811272671613</v>
      </c>
      <c r="H34" s="13">
        <f>SUMPRODUCT(B34:G34,$B$30:$G$30)</f>
        <v>0.0011585726390565653</v>
      </c>
      <c r="I34" s="14">
        <f>C$30*H34*'参数设置'!$B$3*'参数设置'!$B$7/SQRT($B$41)</f>
        <v>103737.12099213374</v>
      </c>
      <c r="J34" s="14">
        <f>I34/C$30</f>
        <v>576317.3388451874</v>
      </c>
      <c r="K34" s="14">
        <f>C$30*STDEV.S(C$4:C$26)*'参数设置'!$B$3*'参数设置'!$B$7</f>
        <v>113263.98452945186</v>
      </c>
    </row>
    <row r="35" spans="1:11">
      <c r="A35" s="8" t="s">
        <v>20</v>
      </c>
      <c r="B35" s="13">
        <f>COVARIANCE.S(D$4:D$26,B$4:B$26)</f>
        <v>0.001255970611206699</v>
      </c>
      <c r="C35" s="13">
        <f>COVARIANCE.S(D$4:D$26,C$4:C$26)</f>
        <v>0.0013546728920645023</v>
      </c>
      <c r="D35" s="13">
        <f>COVARIANCE.S(D$4:D$26,D$4:D$26)</f>
        <v>0.001673939806505305</v>
      </c>
      <c r="E35" s="13">
        <f>COVARIANCE.S(D$4:D$26,E$4:E$26)</f>
        <v>0.0008418844015922254</v>
      </c>
      <c r="F35" s="13">
        <f>COVARIANCE.S(D$4:D$26,F$4:F$26)</f>
        <v>0.0009422475139068253</v>
      </c>
      <c r="G35" s="13">
        <f>COVARIANCE.S(D$4:D$26,G$4:G$26)</f>
        <v>0.0014225041019277726</v>
      </c>
      <c r="H35" s="13">
        <f>SUMPRODUCT(B35:G35,$B$30:$G$30)</f>
        <v>0.0012481389963876</v>
      </c>
      <c r="I35" s="14">
        <f>D$30*H35*'参数设置'!$B$3*'参数设置'!$B$7/SQRT($B$41)</f>
        <v>99339.35888460213</v>
      </c>
      <c r="J35" s="14">
        <f>I35/D$30</f>
        <v>620870.9930287633</v>
      </c>
      <c r="K35" s="14">
        <f>D$30*STDEV.S(D$4:D$26)*'参数设置'!$B$3*'参数设置'!$B$7</f>
        <v>107685.14656228223</v>
      </c>
    </row>
    <row r="36" spans="1:11">
      <c r="A36" s="8" t="s">
        <v>25</v>
      </c>
      <c r="B36" s="13">
        <f>COVARIANCE.S(E$4:E$26,B$4:B$26)</f>
        <v>0.000678949334674663</v>
      </c>
      <c r="C36" s="13">
        <f>COVARIANCE.S(E$4:E$26,C$4:C$26)</f>
        <v>0.0007207445205151251</v>
      </c>
      <c r="D36" s="13">
        <f>COVARIANCE.S(E$4:E$26,D$4:D$26)</f>
        <v>0.0008418844015922254</v>
      </c>
      <c r="E36" s="13">
        <f>COVARIANCE.S(E$4:E$26,E$4:E$26)</f>
        <v>0.000528122670100409</v>
      </c>
      <c r="F36" s="13">
        <f>COVARIANCE.S(E$4:E$26,F$4:F$26)</f>
        <v>0.0006903472911133862</v>
      </c>
      <c r="G36" s="13">
        <f>COVARIANCE.S(E$4:E$26,G$4:G$26)</f>
        <v>0.0008074802628427954</v>
      </c>
      <c r="H36" s="13">
        <f>SUMPRODUCT(B36:G36,$B$30:$G$30)</f>
        <v>0.0007078908785461614</v>
      </c>
      <c r="I36" s="14">
        <f>E$30*H36*'参数设置'!$B$3*'参数设置'!$B$7/SQRT($B$41)</f>
        <v>59862.33534764133</v>
      </c>
      <c r="J36" s="14">
        <f>I36/E$30</f>
        <v>352131.38439789024</v>
      </c>
      <c r="K36" s="14">
        <f>E$30*STDEV.S(E$4:E$26)*'参数设置'!$B$3*'参数设置'!$B$7</f>
        <v>64266.14193147077</v>
      </c>
    </row>
    <row r="37" spans="1:11">
      <c r="A37" s="8" t="s">
        <v>30</v>
      </c>
      <c r="B37" s="13">
        <f>COVARIANCE.S(F$4:F$26,B$4:B$26)</f>
        <v>0.0010365458850546678</v>
      </c>
      <c r="C37" s="13">
        <f>COVARIANCE.S(F$4:F$26,C$4:C$26)</f>
        <v>0.0010089856281822042</v>
      </c>
      <c r="D37" s="13">
        <f>COVARIANCE.S(F$4:F$26,D$4:D$26)</f>
        <v>0.0009422475139068253</v>
      </c>
      <c r="E37" s="13">
        <f>COVARIANCE.S(F$4:F$26,E$4:E$26)</f>
        <v>0.0006903472911133862</v>
      </c>
      <c r="F37" s="13">
        <f>COVARIANCE.S(F$4:F$26,F$4:F$26)</f>
        <v>0.0011838956809813053</v>
      </c>
      <c r="G37" s="13">
        <f>COVARIANCE.S(F$4:F$26,G$4:G$26)</f>
        <v>0.0012238657330600076</v>
      </c>
      <c r="H37" s="13">
        <f>SUMPRODUCT(B37:G37,$B$30:$G$30)</f>
        <v>0.0010078439850537482</v>
      </c>
      <c r="I37" s="14">
        <f>F$30*H37*'参数设置'!$B$3*'参数设置'!$B$7/SQRT($B$41)</f>
        <v>75200.89080175663</v>
      </c>
      <c r="J37" s="14">
        <f>I37/F$30</f>
        <v>501339.2720117108</v>
      </c>
      <c r="K37" s="14">
        <f>F$30*STDEV.S(F$4:F$26)*'参数设置'!$B$3*'参数设置'!$B$7</f>
        <v>84901.20993122969</v>
      </c>
    </row>
    <row r="38" spans="1:11">
      <c r="A38" s="8" t="s">
        <v>35</v>
      </c>
      <c r="B38" s="13">
        <f>COVARIANCE.S(G$4:G$26,B$4:B$26)</f>
        <v>0.0014133312018288144</v>
      </c>
      <c r="C38" s="13">
        <f>COVARIANCE.S(G$4:G$26,C$4:C$26)</f>
        <v>0.0011780811272671613</v>
      </c>
      <c r="D38" s="13">
        <f>COVARIANCE.S(G$4:G$26,D$4:D$26)</f>
        <v>0.0014225041019277726</v>
      </c>
      <c r="E38" s="13">
        <f>COVARIANCE.S(G$4:G$26,E$4:E$26)</f>
        <v>0.0008074802628427954</v>
      </c>
      <c r="F38" s="13">
        <f>COVARIANCE.S(G$4:G$26,F$4:F$26)</f>
        <v>0.0012238657330600076</v>
      </c>
      <c r="G38" s="13">
        <f>COVARIANCE.S(G$4:G$26,G$4:G$26)</f>
        <v>0.0017645284907911445</v>
      </c>
      <c r="H38" s="13">
        <f>SUMPRODUCT(B38:G38,$B$30:$G$30)</f>
        <v>0.0012937189658249555</v>
      </c>
      <c r="I38" s="14">
        <f>G$30*H38*'参数设置'!$B$3*'参数设置'!$B$7/SQRT($B$41)</f>
        <v>96531.62604525105</v>
      </c>
      <c r="J38" s="14">
        <f>I38/G$30</f>
        <v>643544.1736350069</v>
      </c>
      <c r="K38" s="14">
        <f>G$30*STDEV.S(G$4:G$26)*'参数设置'!$B$3*'参数设置'!$B$7</f>
        <v>103650.52325439315</v>
      </c>
    </row>
    <row r="41" spans="1:11">
      <c r="A41" s="8" t="s">
        <v>113</v>
      </c>
      <c r="B41" s="13">
        <f>B30*H33+C30*H34+D30*H35+E30*H36+F30*H37+G30*H38</f>
        <v>0.001093591104446019</v>
      </c>
    </row>
    <row r="42" spans="1:11">
      <c r="A42" s="8" t="s">
        <v>114</v>
      </c>
      <c r="B42" s="14">
        <f>SQRT(B41)*'参数设置'!B3*'参数设置'!B7</f>
        <v>543993.0944790144</v>
      </c>
    </row>
    <row r="43" spans="1:11">
      <c r="A43" s="8" t="s">
        <v>115</v>
      </c>
      <c r="B43" s="14">
        <f>SUM(I33:I38)</f>
        <v>543993.0944790144</v>
      </c>
    </row>
    <row r="44" spans="1:11">
      <c r="A44" s="8" t="s">
        <v>116</v>
      </c>
      <c r="B44" s="14">
        <f>SUM(K33:K38)-B42</f>
        <v>44714.50707774027</v>
      </c>
    </row>
    <row r="45" spans="1:11">
      <c r="A45" s="8" t="s">
        <v>117</v>
      </c>
      <c r="B45" s="5" t="str">
        <f>INDEX(A33:A38,MATCH(MAX(I33:I38),I33:I38,0))</f>
        <v>科技</v>
      </c>
    </row>
  </sheetData>
  <mergeCells count="1">
    <mergeCell ref="A1:K1"/>
  </mergeCells>
  <conditionalFormatting sqref="I33:I38">
    <cfRule type="dataBar" priority="1">
      <dataBar>
        <cfvo type="min" val="0"/>
        <cfvo type="max" val="0"/>
        <color rgb="FF5B9BD5"/>
      </dataBar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6"/>
  <sheetViews>
    <sheetView showGridLines="0" zoomScale="85" zoomScaleNormal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6.7109375" customWidth="1"/>
    <col min="2" max="10" width="18.7109375" customWidth="1"/>
    <col min="11" max="13" width="3.7109375" customWidth="1"/>
    <col min="14" max="15" width="17.7109375" customWidth="1"/>
  </cols>
  <sheetData>
    <row r="1" spans="1:15">
      <c r="A1" s="1" t="s">
        <v>118</v>
      </c>
      <c r="B1" s="1"/>
      <c r="C1" s="1"/>
      <c r="D1" s="1"/>
      <c r="E1" s="1"/>
      <c r="F1" s="1"/>
      <c r="G1" s="1"/>
      <c r="H1" s="1"/>
      <c r="I1" s="1"/>
      <c r="J1" s="1"/>
    </row>
    <row r="3" spans="1:15" ht="36" customHeight="1">
      <c r="A3" s="2" t="s">
        <v>119</v>
      </c>
      <c r="B3" s="2" t="s">
        <v>120</v>
      </c>
      <c r="C3" s="2" t="s">
        <v>121</v>
      </c>
      <c r="D3" s="2" t="s">
        <v>122</v>
      </c>
      <c r="E3" s="2" t="s">
        <v>123</v>
      </c>
      <c r="F3" s="2" t="s">
        <v>124</v>
      </c>
      <c r="G3" s="2" t="s">
        <v>125</v>
      </c>
      <c r="H3" s="2" t="s">
        <v>126</v>
      </c>
      <c r="I3" s="2" t="s">
        <v>127</v>
      </c>
      <c r="J3" s="2" t="s">
        <v>128</v>
      </c>
      <c r="N3" s="2" t="s">
        <v>105</v>
      </c>
      <c r="O3" s="2" t="s">
        <v>129</v>
      </c>
    </row>
    <row r="4" spans="1:15">
      <c r="A4" s="3">
        <v>45716</v>
      </c>
      <c r="B4" s="11">
        <f>'月度收益'!O14</f>
        <v>-0.02857961496630279</v>
      </c>
      <c r="C4" s="11">
        <f>STDEV.S('月度收益'!O2:O13)*SQRT(12)</f>
        <v>0.10483841241923837</v>
      </c>
      <c r="D4" s="13">
        <f>SLOPE('月度收益'!O2:O13,'月度收益'!N2:N13)</f>
        <v>1.015946486762296</v>
      </c>
      <c r="E4" s="11">
        <f>STDEV.S($O$4:$O$15)*SQRT(12)</f>
        <v>0.006498450214483079</v>
      </c>
      <c r="F4" s="11">
        <f>MAX(0,-SMALL('月度收益'!O2:O13,2))</f>
        <v>0.012866339018591872</v>
      </c>
      <c r="G4" s="11">
        <f>MAX(0,-AVERAGE(SMALL('月度收益'!O2:O13,1),SMALL('月度收益'!O2:O13,2)))</f>
        <v>0.02610491021506569</v>
      </c>
      <c r="H4" s="13">
        <f>IF(B4&lt;-F4,1,0)</f>
        <v>1</v>
      </c>
      <c r="I4" s="13">
        <f>AVERAGE($O$4:$O$15)*12/E4</f>
        <v>9.264631633450582</v>
      </c>
      <c r="J4" s="11">
        <f>MAX(0,-B4)</f>
        <v>0.02857961496630279</v>
      </c>
      <c r="N4" s="3">
        <v>45351</v>
      </c>
      <c r="O4" s="11">
        <f>'月度收益'!O2-'月度收益'!N2</f>
        <v>0.007824327253655068</v>
      </c>
    </row>
    <row r="5" spans="1:15">
      <c r="A5" s="3">
        <v>45747</v>
      </c>
      <c r="B5" s="11">
        <f>'月度收益'!O15</f>
        <v>-0.02817391571200374</v>
      </c>
      <c r="C5" s="11">
        <f>STDEV.S('月度收益'!O3:O14)*SQRT(12)</f>
        <v>0.11065526195536365</v>
      </c>
      <c r="D5" s="13">
        <f>SLOPE('月度收益'!O3:O14,'月度收益'!N3:N14)</f>
        <v>1.0160922076307974</v>
      </c>
      <c r="E5" s="11">
        <f>STDEV.S($O$5:$O$16)*SQRT(12)</f>
        <v>0.006091175813931428</v>
      </c>
      <c r="F5" s="11">
        <f>MAX(0,-SMALL('月度收益'!O3:O14,2))</f>
        <v>0.02857961496630279</v>
      </c>
      <c r="G5" s="11">
        <f>MAX(0,-AVERAGE(SMALL('月度收益'!O3:O14,1),SMALL('月度收益'!O3:O14,2)))</f>
        <v>0.03396154818892115</v>
      </c>
      <c r="H5" s="13">
        <f>IF(B5&lt;-F5,1,0)</f>
        <v>0</v>
      </c>
      <c r="I5" s="13">
        <f>AVERAGE($O$5:$O$16)*12/E5</f>
        <v>9.042857600384956</v>
      </c>
      <c r="J5" s="11">
        <f>MAX(0,-B5)</f>
        <v>0.02817391571200374</v>
      </c>
      <c r="N5" s="3">
        <v>45382</v>
      </c>
      <c r="O5" s="11">
        <f>'月度收益'!O3-'月度收益'!N3</f>
        <v>0.004699684832690211</v>
      </c>
    </row>
    <row r="6" spans="1:15">
      <c r="A6" s="3">
        <v>45777</v>
      </c>
      <c r="B6" s="11">
        <f>'月度收益'!O16</f>
        <v>-0.06571119226883793</v>
      </c>
      <c r="C6" s="11">
        <f>STDEV.S('月度收益'!O4:O15)*SQRT(12)</f>
        <v>0.11422690277540343</v>
      </c>
      <c r="D6" s="13">
        <f>SLOPE('月度收益'!O4:O15,'月度收益'!N4:N15)</f>
        <v>1.0285783366770354</v>
      </c>
      <c r="E6" s="11">
        <f>STDEV.S($O$6:$O$17)*SQRT(12)</f>
        <v>0.00801960584215832</v>
      </c>
      <c r="F6" s="11">
        <f>MAX(0,-SMALL('月度收益'!O4:O15,2))</f>
        <v>0.02857961496630279</v>
      </c>
      <c r="G6" s="11">
        <f>MAX(0,-AVERAGE(SMALL('月度收益'!O4:O15,1),SMALL('月度收益'!O4:O15,2)))</f>
        <v>0.03396154818892115</v>
      </c>
      <c r="H6" s="13">
        <f>IF(B6&lt;-F6,1,0)</f>
        <v>1</v>
      </c>
      <c r="I6" s="13">
        <f>AVERAGE($O$6:$O$17)*12/E6</f>
        <v>6.202833536449956</v>
      </c>
      <c r="J6" s="11">
        <f>MAX(0,-B6)</f>
        <v>0.06571119226883793</v>
      </c>
      <c r="N6" s="3">
        <v>45412</v>
      </c>
      <c r="O6" s="11">
        <f>'月度收益'!O4-'月度收益'!N4</f>
        <v>0.0022071910823286515</v>
      </c>
    </row>
    <row r="7" spans="1:15">
      <c r="A7" s="3">
        <v>45808</v>
      </c>
      <c r="B7" s="11">
        <f>'月度收益'!O17</f>
        <v>0.01990953804549747</v>
      </c>
      <c r="C7" s="11">
        <f>STDEV.S('月度收益'!O5:O16)*SQRT(12)</f>
        <v>0.1336380507168803</v>
      </c>
      <c r="D7" s="13">
        <f>SLOPE('月度收益'!O5:O16,'月度收益'!N5:N16)</f>
        <v>1.04673088324702</v>
      </c>
      <c r="E7" s="11">
        <f>STDEV.S($O$7:$O$18)*SQRT(12)</f>
        <v>0.009754441291845594</v>
      </c>
      <c r="F7" s="11">
        <f>MAX(0,-SMALL('月度收益'!O5:O16,2))</f>
        <v>0.0393434814115395</v>
      </c>
      <c r="G7" s="11">
        <f>MAX(0,-AVERAGE(SMALL('月度收益'!O5:O16,1),SMALL('月度收益'!O5:O16,2)))</f>
        <v>0.05252733684018872</v>
      </c>
      <c r="H7" s="13">
        <f>IF(B7&lt;-F7,1,0)</f>
        <v>0</v>
      </c>
      <c r="I7" s="13">
        <f>AVERAGE($O$7:$O$18)*12/E7</f>
        <v>4.707270425713751</v>
      </c>
      <c r="J7" s="11">
        <f>MAX(0,-B7)</f>
        <v>0</v>
      </c>
      <c r="N7" s="3">
        <v>45443</v>
      </c>
      <c r="O7" s="11">
        <f>'月度收益'!O5-'月度收益'!N5</f>
        <v>0.0015677445252054783</v>
      </c>
    </row>
    <row r="8" spans="1:15">
      <c r="A8" s="3">
        <v>45838</v>
      </c>
      <c r="B8" s="11">
        <f>'月度收益'!O18</f>
        <v>0.043947961278318</v>
      </c>
      <c r="C8" s="11">
        <f>STDEV.S('月度收益'!O6:O17)*SQRT(12)</f>
        <v>0.13532638138870484</v>
      </c>
      <c r="D8" s="13">
        <f>SLOPE('月度收益'!O6:O17,'月度收益'!N6:N17)</f>
        <v>1.0476691231338255</v>
      </c>
      <c r="E8" s="11">
        <f>STDEV.S($O$8:$O$19)*SQRT(12)</f>
        <v>0.009541657770926753</v>
      </c>
      <c r="F8" s="11">
        <f>MAX(0,-SMALL('月度收益'!O6:O17,2))</f>
        <v>0.0393434814115395</v>
      </c>
      <c r="G8" s="11">
        <f>MAX(0,-AVERAGE(SMALL('月度收益'!O6:O17,1),SMALL('月度收益'!O6:O17,2)))</f>
        <v>0.05252733684018872</v>
      </c>
      <c r="H8" s="13">
        <f>IF(B8&lt;-F8,1,0)</f>
        <v>0</v>
      </c>
      <c r="I8" s="13">
        <f>AVERAGE($O$8:$O$19)*12/E8</f>
        <v>5.217404301783672</v>
      </c>
      <c r="J8" s="11">
        <f>MAX(0,-B8)</f>
        <v>0</v>
      </c>
      <c r="N8" s="3">
        <v>45473</v>
      </c>
      <c r="O8" s="11">
        <f>'月度收益'!O6-'月度收益'!N6</f>
        <v>0.00715242120426128</v>
      </c>
    </row>
    <row r="9" spans="1:15">
      <c r="A9" s="3">
        <v>45869</v>
      </c>
      <c r="B9" s="11">
        <f>'月度收益'!O19</f>
        <v>0.04226941513310616</v>
      </c>
      <c r="C9" s="11">
        <f>STDEV.S('月度收益'!O7:O18)*SQRT(12)</f>
        <v>0.1420188468336544</v>
      </c>
      <c r="D9" s="13">
        <f>SLOPE('月度收益'!O7:O18,'月度收益'!N7:N18)</f>
        <v>1.0630018986628158</v>
      </c>
      <c r="E9" s="11">
        <f>STDEV.S($O$9:$O$20)*SQRT(12)</f>
        <v>0.012564155213800067</v>
      </c>
      <c r="F9" s="11">
        <f>MAX(0,-SMALL('月度收益'!O7:O18,2))</f>
        <v>0.0393434814115395</v>
      </c>
      <c r="G9" s="11">
        <f>MAX(0,-AVERAGE(SMALL('月度收益'!O7:O18,1),SMALL('月度收益'!O7:O18,2)))</f>
        <v>0.05252733684018872</v>
      </c>
      <c r="H9" s="13">
        <f>IF(B9&lt;-F9,1,0)</f>
        <v>0</v>
      </c>
      <c r="I9" s="13">
        <f>AVERAGE($O$9:$O$20)*12/E9</f>
        <v>4.402378630799633</v>
      </c>
      <c r="J9" s="11">
        <f>MAX(0,-B9)</f>
        <v>0</v>
      </c>
      <c r="N9" s="3">
        <v>45504</v>
      </c>
      <c r="O9" s="11">
        <f>'月度收益'!O7-'月度收益'!N7</f>
        <v>0.004631371038258454</v>
      </c>
    </row>
    <row r="10" spans="1:15">
      <c r="A10" s="3">
        <v>45900</v>
      </c>
      <c r="B10" s="11">
        <f>'月度收益'!O20</f>
        <v>0.0276081557207723</v>
      </c>
      <c r="C10" s="11">
        <f>STDEV.S('月度收益'!O8:O19)*SQRT(12)</f>
        <v>0.14685936596862115</v>
      </c>
      <c r="D10" s="13">
        <f>SLOPE('月度收益'!O8:O19,'月度收益'!N8:N19)</f>
        <v>1.0666734740893153</v>
      </c>
      <c r="E10" s="11">
        <f>STDEV.S($O$10:$O$21)*SQRT(12)</f>
        <v>0.013229733518517297</v>
      </c>
      <c r="F10" s="11">
        <f>MAX(0,-SMALL('月度收益'!O8:O19,2))</f>
        <v>0.0393434814115395</v>
      </c>
      <c r="G10" s="11">
        <f>MAX(0,-AVERAGE(SMALL('月度收益'!O8:O19,1),SMALL('月度收益'!O8:O19,2)))</f>
        <v>0.05252733684018872</v>
      </c>
      <c r="H10" s="13">
        <f>IF(B10&lt;-F10,1,0)</f>
        <v>0</v>
      </c>
      <c r="I10" s="13">
        <f>AVERAGE($O$10:$O$21)*12/E10</f>
        <v>4.492276654027392</v>
      </c>
      <c r="J10" s="11">
        <f>MAX(0,-B10)</f>
        <v>0</v>
      </c>
      <c r="N10" s="3">
        <v>45535</v>
      </c>
      <c r="O10" s="11">
        <f>'月度收益'!O8-'月度收益'!N8</f>
        <v>0.0035878284926138884</v>
      </c>
    </row>
    <row r="11" spans="1:15">
      <c r="A11" s="3">
        <v>45930</v>
      </c>
      <c r="B11" s="11">
        <f>'月度收益'!O21</f>
        <v>0.05249246842142453</v>
      </c>
      <c r="C11" s="11">
        <f>STDEV.S('月度收益'!O9:O20)*SQRT(12)</f>
        <v>0.13844296359137812</v>
      </c>
      <c r="D11" s="13">
        <f>SLOPE('月度收益'!O9:O20,'月度收益'!N9:N20)</f>
        <v>1.0720413057505451</v>
      </c>
      <c r="E11" s="11">
        <f>STDEV.S($O$11:$O$22)*SQRT(12)</f>
        <v>0.013169956602410356</v>
      </c>
      <c r="F11" s="11">
        <f>MAX(0,-SMALL('月度收益'!O9:O20,2))</f>
        <v>0.02857961496630279</v>
      </c>
      <c r="G11" s="11">
        <f>MAX(0,-AVERAGE(SMALL('月度收益'!O9:O20,1),SMALL('月度收益'!O9:O20,2)))</f>
        <v>0.04714540361757036</v>
      </c>
      <c r="H11" s="13">
        <f>IF(B11&lt;-F11,1,0)</f>
        <v>0</v>
      </c>
      <c r="I11" s="13">
        <f>AVERAGE($O$11:$O$22)*12/E11</f>
        <v>4.686399089334704</v>
      </c>
      <c r="J11" s="11">
        <f>MAX(0,-B11)</f>
        <v>0</v>
      </c>
      <c r="N11" s="3">
        <v>45565</v>
      </c>
      <c r="O11" s="11">
        <f>'月度收益'!O9-'月度收益'!N9</f>
        <v>0.006099553428397603</v>
      </c>
    </row>
    <row r="12" spans="1:15">
      <c r="A12" s="3">
        <v>45961</v>
      </c>
      <c r="B12" s="11">
        <f>'月度收益'!O22</f>
        <v>-0.006462350335248799</v>
      </c>
      <c r="C12" s="11">
        <f>STDEV.S('月度收益'!O10:O21)*SQRT(12)</f>
        <v>0.14251929528228524</v>
      </c>
      <c r="D12" s="13">
        <f>SLOPE('月度收益'!O10:O21,'月度收益'!N10:N21)</f>
        <v>1.0615046649827529</v>
      </c>
      <c r="E12" s="11">
        <f>STDEV.S($O$12:$O$23)*SQRT(12)</f>
        <v>0.013230294672924662</v>
      </c>
      <c r="F12" s="11">
        <f>MAX(0,-SMALL('月度收益'!O10:O21,2))</f>
        <v>0.02857961496630279</v>
      </c>
      <c r="G12" s="11">
        <f>MAX(0,-AVERAGE(SMALL('月度收益'!O10:O21,1),SMALL('月度收益'!O10:O21,2)))</f>
        <v>0.04714540361757036</v>
      </c>
      <c r="H12" s="13">
        <f>IF(B12&lt;-F12,1,0)</f>
        <v>0</v>
      </c>
      <c r="I12" s="13">
        <f>AVERAGE($O$12:$O$23)*12/E12</f>
        <v>4.462415202672049</v>
      </c>
      <c r="J12" s="11">
        <f>MAX(0,-B12)</f>
        <v>0.006462350335248799</v>
      </c>
      <c r="N12" s="3">
        <v>45596</v>
      </c>
      <c r="O12" s="11">
        <f>'月度收益'!O10-'月度收益'!N10</f>
        <v>0.004779616881047569</v>
      </c>
    </row>
    <row r="13" spans="1:15">
      <c r="A13" s="3">
        <v>45991</v>
      </c>
      <c r="B13" s="11">
        <f>'月度收益'!O23</f>
        <v>-0.005440672089627106</v>
      </c>
      <c r="C13" s="11">
        <f>STDEV.S('月度收益'!O11:O22)*SQRT(12)</f>
        <v>0.14121341961734585</v>
      </c>
      <c r="D13" s="13">
        <f>SLOPE('月度收益'!O11:O22,'月度收益'!N11:N22)</f>
        <v>1.0661535884572453</v>
      </c>
      <c r="E13" s="11">
        <f>STDEV.S($O$13:$O$24)*SQRT(12)</f>
        <v>0.01355118941402172</v>
      </c>
      <c r="F13" s="11">
        <f>MAX(0,-SMALL('月度收益'!O11:O22,2))</f>
        <v>0.02857961496630279</v>
      </c>
      <c r="G13" s="11">
        <f>MAX(0,-AVERAGE(SMALL('月度收益'!O11:O22,1),SMALL('月度收益'!O11:O22,2)))</f>
        <v>0.04714540361757036</v>
      </c>
      <c r="H13" s="13">
        <f>IF(B13&lt;-F13,1,0)</f>
        <v>0</v>
      </c>
      <c r="I13" s="13">
        <f>AVERAGE($O$13:$O$24)*12/E13</f>
        <v>4.151412468168613</v>
      </c>
      <c r="J13" s="11">
        <f>MAX(0,-B13)</f>
        <v>0.005440672089627106</v>
      </c>
      <c r="N13" s="3">
        <v>45626</v>
      </c>
      <c r="O13" s="11">
        <f>'月度收益'!O11-'月度收益'!N11</f>
        <v>0.0056393084059468</v>
      </c>
    </row>
    <row r="14" spans="1:15">
      <c r="A14" s="3">
        <v>46022</v>
      </c>
      <c r="B14" s="11">
        <f>'月度收益'!O24</f>
        <v>0.007554182370882454</v>
      </c>
      <c r="C14" s="11">
        <f>STDEV.S('月度收益'!O12:O23)*SQRT(12)</f>
        <v>0.1223065066275717</v>
      </c>
      <c r="D14" s="13">
        <f>SLOPE('月度收益'!O12:O23,'月度收益'!N12:N23)</f>
        <v>1.0870556443068415</v>
      </c>
      <c r="E14" s="11">
        <f>STDEV.S($O$14:$O$25)*SQRT(12)</f>
        <v>0.013603508315537008</v>
      </c>
      <c r="F14" s="11">
        <f>MAX(0,-SMALL('月度收益'!O12:O23,2))</f>
        <v>0.02857961496630279</v>
      </c>
      <c r="G14" s="11">
        <f>MAX(0,-AVERAGE(SMALL('月度收益'!O12:O23,1),SMALL('月度收益'!O12:O23,2)))</f>
        <v>0.04714540361757036</v>
      </c>
      <c r="H14" s="13">
        <f>IF(B14&lt;-F14,1,0)</f>
        <v>0</v>
      </c>
      <c r="I14" s="13">
        <f>AVERAGE($O$14:$O$25)*12/E14</f>
        <v>3.942987023247805</v>
      </c>
      <c r="J14" s="11">
        <f>MAX(0,-B14)</f>
        <v>0</v>
      </c>
      <c r="N14" s="3">
        <v>45657</v>
      </c>
      <c r="O14" s="11">
        <f>'月度收益'!O12-'月度收益'!N12</f>
        <v>0.0065579776955535865</v>
      </c>
    </row>
    <row r="15" spans="1:15">
      <c r="N15" s="3">
        <v>45688</v>
      </c>
      <c r="O15" s="11">
        <f>'月度收益'!O13-'月度收益'!N13</f>
        <v>0.0054587225855450665</v>
      </c>
    </row>
    <row r="16" spans="1:15">
      <c r="N16" s="3">
        <v>45716</v>
      </c>
      <c r="O16" s="11">
        <f>'月度收益'!O14-'月度收益'!N14</f>
        <v>0.002700215332442246</v>
      </c>
    </row>
    <row r="17" spans="1:15">
      <c r="A17" s="8" t="s">
        <v>130</v>
      </c>
      <c r="B17" s="13">
        <f>SUM(H4:H14)</f>
        <v>2</v>
      </c>
      <c r="N17" s="3">
        <v>45747</v>
      </c>
      <c r="O17" s="11">
        <f>'月度收益'!O15-'月度收益'!N15</f>
        <v>-0.00063767060475102</v>
      </c>
    </row>
    <row r="18" spans="1:15">
      <c r="A18" s="8" t="s">
        <v>131</v>
      </c>
      <c r="B18" s="11">
        <f>B17/COUNT(B4:B14)</f>
        <v>0.18181818181818182</v>
      </c>
      <c r="N18" s="3">
        <v>45777</v>
      </c>
      <c r="O18" s="11">
        <f>'月度收益'!O16-'月度收益'!N16</f>
        <v>-0.0016202959720551524</v>
      </c>
    </row>
    <row r="19" spans="1:15">
      <c r="A19" s="8" t="s">
        <v>132</v>
      </c>
      <c r="B19" s="13">
        <f>COUNT(B4:B14)*10%</f>
        <v>1.1</v>
      </c>
      <c r="N19" s="3">
        <v>45808</v>
      </c>
      <c r="O19" s="11">
        <f>'月度收益'!O17-'月度收益'!N17</f>
        <v>0.005433637812920528</v>
      </c>
    </row>
    <row r="20" spans="1:15">
      <c r="A20" s="8" t="s">
        <v>133</v>
      </c>
      <c r="B20" s="5" t="str">
        <f>IF(B17&lt;=2,"正常","复核")</f>
        <v>正常</v>
      </c>
      <c r="N20" s="3">
        <v>45838</v>
      </c>
      <c r="O20" s="11">
        <f>'月度收益'!O18-'月度收益'!N18</f>
        <v>0.01268190333136364</v>
      </c>
    </row>
    <row r="21" spans="1:15">
      <c r="N21" s="3">
        <v>45869</v>
      </c>
      <c r="O21" s="11">
        <f>'月度收益'!O19-'月度收益'!N19</f>
        <v>0.00875082563521417</v>
      </c>
    </row>
    <row r="22" spans="1:15">
      <c r="N22" s="3">
        <v>45900</v>
      </c>
      <c r="O22" s="11">
        <f>'月度收益'!O20-'月度收益'!N20</f>
        <v>0.005875878096488429</v>
      </c>
    </row>
    <row r="23" spans="1:15">
      <c r="N23" s="3">
        <v>45930</v>
      </c>
      <c r="O23" s="11">
        <f>'月度收益'!O21-'月度收益'!N21</f>
        <v>0.003418948884574176</v>
      </c>
    </row>
    <row r="24" spans="1:15">
      <c r="N24" s="3">
        <v>45961</v>
      </c>
      <c r="O24" s="11">
        <f>'月度收益'!O22-'月度收益'!N22</f>
        <v>0.0019971254886418177</v>
      </c>
    </row>
    <row r="25" spans="1:15">
      <c r="N25" s="3">
        <v>45991</v>
      </c>
      <c r="O25" s="11">
        <f>'月度收益'!O23-'月度收益'!N23</f>
        <v>0.003021188472868543</v>
      </c>
    </row>
    <row r="26" spans="1:15">
      <c r="N26" s="3">
        <v>46022</v>
      </c>
      <c r="O26" s="11">
        <f>'月度收益'!O24-'月度收益'!N24</f>
        <v>0.0038502179852477588</v>
      </c>
    </row>
  </sheetData>
  <mergeCells count="1">
    <mergeCell ref="A1:J1"/>
  </mergeCells>
  <conditionalFormatting sqref="H4:H14">
    <cfRule type="cellIs" dxfId="0" priority="1" operator="greaterThanOrEqual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原始行情</vt:lpstr>
      <vt:lpstr>参数设置</vt:lpstr>
      <vt:lpstr>组合分析</vt:lpstr>
      <vt:lpstr>月度收益</vt:lpstr>
      <vt:lpstr>压力测试</vt:lpstr>
      <vt:lpstr>投资仪表盘</vt:lpstr>
      <vt:lpstr>行业风险归因</vt:lpstr>
      <vt:lpstr>风险回测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股票组合风险分析</dc:title>
  <dc:subject>TalentsAI Excel 任务</dc:subject>
  <dc:creator>TalentsAI Expert</dc:creator>
  <dc:description>全部数据均为模拟数据，仅用于 Excel 分析任务。</dc:description>
  <cp:lastModifiedBy>TalentsAI Expert</cp:lastModifiedBy>
  <dcterms:created xsi:type="dcterms:W3CDTF">2026-09-16T10:19:41Z</dcterms:created>
  <dcterms:modified xsi:type="dcterms:W3CDTF">2026-09-16T10:19:41Z</dcterms:modified>
</cp:coreProperties>
</file>